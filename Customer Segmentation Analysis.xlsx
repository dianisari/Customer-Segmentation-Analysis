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0. PERSONAL DATA\62. DIANI (OK)\MATERI PELATIHAN DATA ANALIST\Session 2 (Excel)\"/>
    </mc:Choice>
  </mc:AlternateContent>
  <xr:revisionPtr revIDLastSave="0" documentId="13_ncr:1_{2B4C2D75-3805-46D7-8E5E-879ADD474AA6}" xr6:coauthVersionLast="47" xr6:coauthVersionMax="47" xr10:uidLastSave="{00000000-0000-0000-0000-000000000000}"/>
  <bookViews>
    <workbookView xWindow="-110" yWindow="-110" windowWidth="19420" windowHeight="10300" firstSheet="1" activeTab="1" xr2:uid="{1998AB54-09DF-4CF4-8E0C-CD6B0649F69C}"/>
  </bookViews>
  <sheets>
    <sheet name="Raw Dataset" sheetId="3" r:id="rId1"/>
    <sheet name="Data Processing" sheetId="1" r:id="rId2"/>
    <sheet name="Lookup" sheetId="2" r:id="rId3"/>
    <sheet name="Pivot Table" sheetId="4" r:id="rId4"/>
    <sheet name="Chart" sheetId="5" r:id="rId5"/>
    <sheet name="DASHBOARD" sheetId="6" r:id="rId6"/>
    <sheet name="KEY FINDINGS" sheetId="8" r:id="rId7"/>
  </sheets>
  <definedNames>
    <definedName name="_xlnm._FilterDatabase" localSheetId="4" hidden="1">Chart!$B$52:$E$58</definedName>
    <definedName name="_xlnm._FilterDatabase" localSheetId="1" hidden="1">'Data Processing'!$A$1:$P$135</definedName>
    <definedName name="_xlnm._FilterDatabase" localSheetId="0" hidden="1">'Raw Dataset'!$A$1:$K$135</definedName>
    <definedName name="_xlnm.Print_Area" localSheetId="5">DASHBOARD!$A$1:$L$64</definedName>
    <definedName name="_xlnm.Print_Area" localSheetId="6">'KEY FINDINGS'!$A$1:$M$64</definedName>
  </definedNames>
  <calcPr calcId="191029"/>
  <pivotCaches>
    <pivotCache cacheId="1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1" i="5" l="1"/>
  <c r="E81" i="5"/>
  <c r="F81" i="5"/>
  <c r="C81" i="5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2" i="1"/>
  <c r="N14" i="1"/>
  <c r="N3" i="1"/>
  <c r="N4" i="1"/>
  <c r="N5" i="1"/>
  <c r="N6" i="1"/>
  <c r="N7" i="1"/>
  <c r="N8" i="1"/>
  <c r="N9" i="1"/>
  <c r="N10" i="1"/>
  <c r="N11" i="1"/>
  <c r="N12" i="1"/>
  <c r="N13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2" i="1"/>
  <c r="D17" i="5"/>
  <c r="E17" i="5"/>
  <c r="C17" i="5"/>
  <c r="O10" i="1" a="1"/>
  <c r="O10" i="1" s="1"/>
  <c r="O3" i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11" i="1" a="1"/>
  <c r="O11" i="1" s="1"/>
  <c r="P11" i="1" s="1"/>
  <c r="O12" i="1" a="1"/>
  <c r="O12" i="1" s="1"/>
  <c r="P12" i="1" s="1"/>
  <c r="O13" i="1" a="1"/>
  <c r="O13" i="1" s="1"/>
  <c r="O14" i="1" a="1"/>
  <c r="O14" i="1" s="1"/>
  <c r="P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1" i="1" a="1"/>
  <c r="O21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P51" i="1" s="1"/>
  <c r="O52" i="1" a="1"/>
  <c r="O52" i="1" s="1"/>
  <c r="O53" i="1" a="1"/>
  <c r="O53" i="1" s="1"/>
  <c r="O54" i="1" a="1"/>
  <c r="O54" i="1" s="1"/>
  <c r="O55" i="1" a="1"/>
  <c r="O55" i="1" s="1"/>
  <c r="O56" i="1" a="1"/>
  <c r="O56" i="1" s="1"/>
  <c r="O57" i="1" a="1"/>
  <c r="O57" i="1" s="1"/>
  <c r="O58" i="1" a="1"/>
  <c r="O58" i="1" s="1"/>
  <c r="O59" i="1" a="1"/>
  <c r="O59" i="1" s="1"/>
  <c r="O60" i="1" a="1"/>
  <c r="O60" i="1" s="1"/>
  <c r="O61" i="1" a="1"/>
  <c r="O61" i="1" s="1"/>
  <c r="O62" i="1" a="1"/>
  <c r="O62" i="1" s="1"/>
  <c r="O63" i="1" a="1"/>
  <c r="O63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P76" i="1" s="1"/>
  <c r="O77" i="1" a="1"/>
  <c r="O77" i="1" s="1"/>
  <c r="O78" i="1" a="1"/>
  <c r="O78" i="1" s="1"/>
  <c r="O79" i="1" a="1"/>
  <c r="O79" i="1" s="1"/>
  <c r="O80" i="1" a="1"/>
  <c r="O80" i="1" s="1"/>
  <c r="P80" i="1" s="1"/>
  <c r="O81" i="1" a="1"/>
  <c r="O81" i="1" s="1"/>
  <c r="O82" i="1" a="1"/>
  <c r="O82" i="1" s="1"/>
  <c r="O83" i="1" a="1"/>
  <c r="O83" i="1" s="1"/>
  <c r="O84" i="1" a="1"/>
  <c r="O84" i="1" s="1"/>
  <c r="P84" i="1" s="1"/>
  <c r="O85" i="1" a="1"/>
  <c r="O85" i="1" s="1"/>
  <c r="O86" i="1" a="1"/>
  <c r="O86" i="1" s="1"/>
  <c r="O87" i="1" a="1"/>
  <c r="O87" i="1" s="1"/>
  <c r="O88" i="1" a="1"/>
  <c r="O88" i="1" s="1"/>
  <c r="O89" i="1" a="1"/>
  <c r="O89" i="1" s="1"/>
  <c r="O90" i="1" a="1"/>
  <c r="O90" i="1" s="1"/>
  <c r="O91" i="1" a="1"/>
  <c r="O91" i="1" s="1"/>
  <c r="O92" i="1" a="1"/>
  <c r="O92" i="1" s="1"/>
  <c r="P92" i="1" s="1"/>
  <c r="O93" i="1" a="1"/>
  <c r="O93" i="1" s="1"/>
  <c r="O94" i="1" a="1"/>
  <c r="O94" i="1" s="1"/>
  <c r="O95" i="1" a="1"/>
  <c r="O95" i="1" s="1"/>
  <c r="O96" i="1" a="1"/>
  <c r="O96" i="1" s="1"/>
  <c r="P96" i="1" s="1"/>
  <c r="O97" i="1" a="1"/>
  <c r="O97" i="1" s="1"/>
  <c r="O98" i="1" a="1"/>
  <c r="O98" i="1" s="1"/>
  <c r="O99" i="1" a="1"/>
  <c r="O99" i="1" s="1"/>
  <c r="O100" i="1" a="1"/>
  <c r="O100" i="1" s="1"/>
  <c r="P100" i="1" s="1"/>
  <c r="O101" i="1" a="1"/>
  <c r="O101" i="1" s="1"/>
  <c r="O102" i="1" a="1"/>
  <c r="O102" i="1" s="1"/>
  <c r="O103" i="1" a="1"/>
  <c r="O103" i="1" s="1"/>
  <c r="O104" i="1" a="1"/>
  <c r="O104" i="1" s="1"/>
  <c r="P104" i="1" s="1"/>
  <c r="O105" i="1" a="1"/>
  <c r="O105" i="1" s="1"/>
  <c r="O106" i="1" a="1"/>
  <c r="O106" i="1" s="1"/>
  <c r="O107" i="1" a="1"/>
  <c r="O107" i="1" s="1"/>
  <c r="O108" i="1" a="1"/>
  <c r="O108" i="1" s="1"/>
  <c r="P108" i="1" s="1"/>
  <c r="O109" i="1" a="1"/>
  <c r="O109" i="1" s="1"/>
  <c r="O110" i="1" a="1"/>
  <c r="O110" i="1" s="1"/>
  <c r="O111" i="1" a="1"/>
  <c r="O111" i="1" s="1"/>
  <c r="O112" i="1" a="1"/>
  <c r="O112" i="1" s="1"/>
  <c r="P112" i="1" s="1"/>
  <c r="O113" i="1" a="1"/>
  <c r="O113" i="1" s="1"/>
  <c r="O114" i="1" a="1"/>
  <c r="O114" i="1" s="1"/>
  <c r="O115" i="1" a="1"/>
  <c r="O115" i="1" s="1"/>
  <c r="O116" i="1" a="1"/>
  <c r="O116" i="1" s="1"/>
  <c r="P116" i="1" s="1"/>
  <c r="O117" i="1" a="1"/>
  <c r="O117" i="1" s="1"/>
  <c r="O118" i="1" a="1"/>
  <c r="O118" i="1" s="1"/>
  <c r="O119" i="1" a="1"/>
  <c r="O119" i="1" s="1"/>
  <c r="O120" i="1" a="1"/>
  <c r="O120" i="1" s="1"/>
  <c r="P120" i="1" s="1"/>
  <c r="O121" i="1" a="1"/>
  <c r="O121" i="1" s="1"/>
  <c r="O122" i="1" a="1"/>
  <c r="O122" i="1" s="1"/>
  <c r="O123" i="1" a="1"/>
  <c r="O123" i="1" s="1"/>
  <c r="O124" i="1" a="1"/>
  <c r="O124" i="1" s="1"/>
  <c r="P124" i="1" s="1"/>
  <c r="O125" i="1" a="1"/>
  <c r="O125" i="1" s="1"/>
  <c r="O126" i="1" a="1"/>
  <c r="O126" i="1" s="1"/>
  <c r="O127" i="1" a="1"/>
  <c r="O127" i="1" s="1"/>
  <c r="O128" i="1" a="1"/>
  <c r="O128" i="1" s="1"/>
  <c r="P128" i="1" s="1"/>
  <c r="O129" i="1" a="1"/>
  <c r="O129" i="1" s="1"/>
  <c r="O130" i="1" a="1"/>
  <c r="O130" i="1" s="1"/>
  <c r="O131" i="1" a="1"/>
  <c r="O131" i="1" s="1"/>
  <c r="O132" i="1" a="1"/>
  <c r="O132" i="1" s="1"/>
  <c r="P132" i="1" s="1"/>
  <c r="O133" i="1" a="1"/>
  <c r="O133" i="1" s="1"/>
  <c r="O134" i="1" a="1"/>
  <c r="O134" i="1" s="1"/>
  <c r="O135" i="1" a="1"/>
  <c r="O135" i="1" s="1"/>
  <c r="O2" i="1" a="1"/>
  <c r="O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2" i="1"/>
  <c r="P72" i="1" l="1"/>
  <c r="P68" i="1"/>
  <c r="P64" i="1"/>
  <c r="P56" i="1"/>
  <c r="P52" i="1"/>
  <c r="P48" i="1"/>
  <c r="P44" i="1"/>
  <c r="P40" i="1"/>
  <c r="P36" i="1"/>
  <c r="P32" i="1"/>
  <c r="P28" i="1"/>
  <c r="P20" i="1"/>
  <c r="P16" i="1"/>
  <c r="P7" i="1"/>
  <c r="P3" i="1"/>
  <c r="P135" i="1"/>
  <c r="P131" i="1"/>
  <c r="P127" i="1"/>
  <c r="P123" i="1"/>
  <c r="P119" i="1"/>
  <c r="P115" i="1"/>
  <c r="P111" i="1"/>
  <c r="P107" i="1"/>
  <c r="P103" i="1"/>
  <c r="P99" i="1"/>
  <c r="P95" i="1"/>
  <c r="P91" i="1"/>
  <c r="P87" i="1"/>
  <c r="P83" i="1"/>
  <c r="P79" i="1"/>
  <c r="P75" i="1"/>
  <c r="P71" i="1"/>
  <c r="P67" i="1"/>
  <c r="P63" i="1"/>
  <c r="P59" i="1"/>
  <c r="P55" i="1"/>
  <c r="P47" i="1"/>
  <c r="P43" i="1"/>
  <c r="P39" i="1"/>
  <c r="P35" i="1"/>
  <c r="P31" i="1"/>
  <c r="P27" i="1"/>
  <c r="P23" i="1"/>
  <c r="P19" i="1"/>
  <c r="P15" i="1"/>
  <c r="P13" i="1"/>
  <c r="P133" i="1"/>
  <c r="P125" i="1"/>
  <c r="P117" i="1"/>
  <c r="P113" i="1"/>
  <c r="P109" i="1"/>
  <c r="P105" i="1"/>
  <c r="P101" i="1"/>
  <c r="P97" i="1"/>
  <c r="P93" i="1"/>
  <c r="P89" i="1"/>
  <c r="P85" i="1"/>
  <c r="P81" i="1"/>
  <c r="P77" i="1"/>
  <c r="P61" i="1"/>
  <c r="P45" i="1"/>
  <c r="P29" i="1"/>
  <c r="P4" i="1"/>
  <c r="P88" i="1"/>
  <c r="P60" i="1"/>
  <c r="P24" i="1"/>
  <c r="P74" i="1"/>
  <c r="P70" i="1"/>
  <c r="P66" i="1"/>
  <c r="P62" i="1"/>
  <c r="P58" i="1"/>
  <c r="P54" i="1"/>
  <c r="P50" i="1"/>
  <c r="P46" i="1"/>
  <c r="P42" i="1"/>
  <c r="P38" i="1"/>
  <c r="P34" i="1"/>
  <c r="P30" i="1"/>
  <c r="P26" i="1"/>
  <c r="P22" i="1"/>
  <c r="P18" i="1"/>
  <c r="P8" i="1"/>
  <c r="P129" i="1"/>
  <c r="P121" i="1"/>
  <c r="P73" i="1"/>
  <c r="P69" i="1"/>
  <c r="P65" i="1"/>
  <c r="P57" i="1"/>
  <c r="P53" i="1"/>
  <c r="P49" i="1"/>
  <c r="P41" i="1"/>
  <c r="P37" i="1"/>
  <c r="P33" i="1"/>
  <c r="P25" i="1"/>
  <c r="P21" i="1"/>
  <c r="P17" i="1"/>
  <c r="P130" i="1"/>
  <c r="P126" i="1"/>
  <c r="P122" i="1"/>
  <c r="P118" i="1"/>
  <c r="P114" i="1"/>
  <c r="P110" i="1"/>
  <c r="P106" i="1"/>
  <c r="P102" i="1"/>
  <c r="P98" i="1"/>
  <c r="P94" i="1"/>
  <c r="P90" i="1"/>
  <c r="P86" i="1"/>
  <c r="P82" i="1"/>
  <c r="P78" i="1"/>
  <c r="P10" i="1"/>
  <c r="P6" i="1"/>
  <c r="P9" i="1"/>
  <c r="P5" i="1"/>
  <c r="P134" i="1"/>
  <c r="P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<sst xmlns="http://schemas.openxmlformats.org/spreadsheetml/2006/main" count="914" uniqueCount="222">
  <si>
    <t>CIF</t>
  </si>
  <si>
    <t>Cust_Name</t>
  </si>
  <si>
    <t>Usia</t>
  </si>
  <si>
    <t>Jenis Kelamin</t>
  </si>
  <si>
    <t>Date_Cif_Open</t>
  </si>
  <si>
    <t>Acc_Number</t>
  </si>
  <si>
    <t>Date_Acc_Open</t>
  </si>
  <si>
    <t>Product_Code</t>
  </si>
  <si>
    <t>Balance</t>
  </si>
  <si>
    <t>Avg_Balance</t>
  </si>
  <si>
    <t>SND</t>
  </si>
  <si>
    <t>Budi Kusuma</t>
  </si>
  <si>
    <t>Perempuan</t>
  </si>
  <si>
    <t>SND01</t>
  </si>
  <si>
    <t>Wulan Wibowo</t>
  </si>
  <si>
    <t>Laki-laki</t>
  </si>
  <si>
    <t>SND02</t>
  </si>
  <si>
    <t>Yudi Santoso</t>
  </si>
  <si>
    <t>SND03</t>
  </si>
  <si>
    <t>Hendra Permana</t>
  </si>
  <si>
    <t>SND04</t>
  </si>
  <si>
    <t>Rina Rahayu</t>
  </si>
  <si>
    <t>SND05</t>
  </si>
  <si>
    <t>Lina Wibowo</t>
  </si>
  <si>
    <t>SND06</t>
  </si>
  <si>
    <t>Joko Sari</t>
  </si>
  <si>
    <t>SND07</t>
  </si>
  <si>
    <t>Hadi Saputri</t>
  </si>
  <si>
    <t>SND08</t>
  </si>
  <si>
    <t>Kartika Kurniawan</t>
  </si>
  <si>
    <t>SND09</t>
  </si>
  <si>
    <t>Indah Ramadhan</t>
  </si>
  <si>
    <t>SND10</t>
  </si>
  <si>
    <t>Dewi Nugroho</t>
  </si>
  <si>
    <t>SND11</t>
  </si>
  <si>
    <t>Joko Putra</t>
  </si>
  <si>
    <t>SND12</t>
  </si>
  <si>
    <t>Eka Wijaya</t>
  </si>
  <si>
    <t>Putri Kusuma</t>
  </si>
  <si>
    <t>Hendra Kusuma</t>
  </si>
  <si>
    <t>Indah Kurniawan</t>
  </si>
  <si>
    <t>Fitri Susanti</t>
  </si>
  <si>
    <t>Erna Hidayat</t>
  </si>
  <si>
    <t>Hadi Halim</t>
  </si>
  <si>
    <t>Gilang Kurniawan</t>
  </si>
  <si>
    <t>Putri Nugroho</t>
  </si>
  <si>
    <t>Yudi Lestari</t>
  </si>
  <si>
    <t>Putri Putra</t>
  </si>
  <si>
    <t>Yudi Handoko</t>
  </si>
  <si>
    <t>Citra Susanto</t>
  </si>
  <si>
    <t>Chandra Saputra</t>
  </si>
  <si>
    <t>Putri Kurniawan</t>
  </si>
  <si>
    <t>Nanda Susanti</t>
  </si>
  <si>
    <t>Putri Hidayat</t>
  </si>
  <si>
    <t>Indah Saputri</t>
  </si>
  <si>
    <t>Indah Permana</t>
  </si>
  <si>
    <t>Fajar Lestari</t>
  </si>
  <si>
    <t>Intan Susanto</t>
  </si>
  <si>
    <t>Budi Sari</t>
  </si>
  <si>
    <t>Eka Putra</t>
  </si>
  <si>
    <t>Fitri Kusuma</t>
  </si>
  <si>
    <t>Fajar Susanti</t>
  </si>
  <si>
    <t>Hadi Santoso</t>
  </si>
  <si>
    <t>Erna Putra</t>
  </si>
  <si>
    <t>Putri Wibowo</t>
  </si>
  <si>
    <t>Gilang Syahputra</t>
  </si>
  <si>
    <t>Bayu Nugroho</t>
  </si>
  <si>
    <t>Maya Wijaya</t>
  </si>
  <si>
    <t>Erna Wibowo</t>
  </si>
  <si>
    <t>Nanda Putra</t>
  </si>
  <si>
    <t>Maya Lestari</t>
  </si>
  <si>
    <t>Indah Susanti</t>
  </si>
  <si>
    <t>Nanda Sari</t>
  </si>
  <si>
    <t>Joko Hidayat</t>
  </si>
  <si>
    <t>Yudi Ramadhan</t>
  </si>
  <si>
    <t>Sinta Kurniawan</t>
  </si>
  <si>
    <t>Maya Wibowo</t>
  </si>
  <si>
    <t>Teguh Santoso</t>
  </si>
  <si>
    <t>Ahmad Handoko</t>
  </si>
  <si>
    <t>Chandra Nugroho</t>
  </si>
  <si>
    <t>Bayu Kusuma</t>
  </si>
  <si>
    <t>Dewi Lestari</t>
  </si>
  <si>
    <t>Putri Handoko</t>
  </si>
  <si>
    <t>Kartika Wijaya</t>
  </si>
  <si>
    <t>Indah Sari</t>
  </si>
  <si>
    <t>Ahmad Putra</t>
  </si>
  <si>
    <t>Yudi Purnama</t>
  </si>
  <si>
    <t>Teguh Utami</t>
  </si>
  <si>
    <t>Oki Syahputra</t>
  </si>
  <si>
    <t>Joko Susanti</t>
  </si>
  <si>
    <t>Zahra Rahayu</t>
  </si>
  <si>
    <t>Hendra Rahayu</t>
  </si>
  <si>
    <t>Intan Kusuma</t>
  </si>
  <si>
    <t>Rina Hidayat</t>
  </si>
  <si>
    <t>Hadi Saputra</t>
  </si>
  <si>
    <t>Lina Ramadhan</t>
  </si>
  <si>
    <t>Zahra Setiawan</t>
  </si>
  <si>
    <t>Zahra Wibowo</t>
  </si>
  <si>
    <t>Ahmad Wibowo</t>
  </si>
  <si>
    <t>Rina Kurniawan</t>
  </si>
  <si>
    <t>Kartika Santoso</t>
  </si>
  <si>
    <t>Erna Pratama</t>
  </si>
  <si>
    <t>Fitri Saputra</t>
  </si>
  <si>
    <t>Eka Ramadhan</t>
  </si>
  <si>
    <t>Gilang Rahayu</t>
  </si>
  <si>
    <t>Hadi Kurniawan</t>
  </si>
  <si>
    <t>Johan Nugroho</t>
  </si>
  <si>
    <t>Hadi Wijaya</t>
  </si>
  <si>
    <t>Erna Syahputra</t>
  </si>
  <si>
    <t>Gilang Handoko</t>
  </si>
  <si>
    <t>Citra Ramadhan</t>
  </si>
  <si>
    <t>Eka Kurniawan</t>
  </si>
  <si>
    <t>Yudi Rahayu</t>
  </si>
  <si>
    <t>Rina Ramadhan</t>
  </si>
  <si>
    <t>Oki Purnama</t>
  </si>
  <si>
    <t>Wulan Syahputra</t>
  </si>
  <si>
    <t>Johan Sari</t>
  </si>
  <si>
    <t>Maya Handoko</t>
  </si>
  <si>
    <t>Citra Putra</t>
  </si>
  <si>
    <t>Erna Lestari</t>
  </si>
  <si>
    <t>Lina Hidayat</t>
  </si>
  <si>
    <t>Erna Susanto</t>
  </si>
  <si>
    <t>Dian Nugroho</t>
  </si>
  <si>
    <t>Indah Halim</t>
  </si>
  <si>
    <t>Indah Siregar</t>
  </si>
  <si>
    <t>Zahra Saputri</t>
  </si>
  <si>
    <t>Oki Kurniawan</t>
  </si>
  <si>
    <t>Johan Hidayat</t>
  </si>
  <si>
    <t>Fajar Setiawan</t>
  </si>
  <si>
    <t>Zahra Sari</t>
  </si>
  <si>
    <t>Fitri Lestari</t>
  </si>
  <si>
    <t>Johan Handoko</t>
  </si>
  <si>
    <t>Oki Setiawan</t>
  </si>
  <si>
    <t>Gilang Wibowo</t>
  </si>
  <si>
    <t>Yudi Hidayat</t>
  </si>
  <si>
    <t>Putri Wijaya</t>
  </si>
  <si>
    <t>Maya Putra</t>
  </si>
  <si>
    <t>Joko Lestari</t>
  </si>
  <si>
    <t>Yudi Kurniawan</t>
  </si>
  <si>
    <t>Johan Putra</t>
  </si>
  <si>
    <t>Region</t>
  </si>
  <si>
    <t>Product Name</t>
  </si>
  <si>
    <t>Cust Segmen</t>
  </si>
  <si>
    <t>Cust Profiling</t>
  </si>
  <si>
    <t>Sulawesi Tenggara</t>
  </si>
  <si>
    <t>Sulawesi Utara</t>
  </si>
  <si>
    <t>&gt; 55</t>
  </si>
  <si>
    <t>Grade D</t>
  </si>
  <si>
    <t>Maluku</t>
  </si>
  <si>
    <t>&lt; 25</t>
  </si>
  <si>
    <t>Grade C</t>
  </si>
  <si>
    <t>&gt; 50 Juta</t>
  </si>
  <si>
    <t>Privilege</t>
  </si>
  <si>
    <t>Bali</t>
  </si>
  <si>
    <t>35-55</t>
  </si>
  <si>
    <t>Grade B</t>
  </si>
  <si>
    <t>10-50 Juta</t>
  </si>
  <si>
    <t>Optimal</t>
  </si>
  <si>
    <t>Papua</t>
  </si>
  <si>
    <t>25-35</t>
  </si>
  <si>
    <t>Grade A</t>
  </si>
  <si>
    <t>&lt; 10 Juta</t>
  </si>
  <si>
    <t>Mass Market</t>
  </si>
  <si>
    <t>DKI Jakarta</t>
  </si>
  <si>
    <t>Tier</t>
  </si>
  <si>
    <t>Segment</t>
  </si>
  <si>
    <t>Sumatera Utara</t>
  </si>
  <si>
    <t>Tab Syariah</t>
  </si>
  <si>
    <t>Kalimantan</t>
  </si>
  <si>
    <t xml:space="preserve">Tab Valas </t>
  </si>
  <si>
    <t>High</t>
  </si>
  <si>
    <t>Jawa Timur</t>
  </si>
  <si>
    <t>Tab Umroh</t>
  </si>
  <si>
    <t>Middle</t>
  </si>
  <si>
    <t>Jawa Tengah</t>
  </si>
  <si>
    <t>Special Hajj</t>
  </si>
  <si>
    <t>Low</t>
  </si>
  <si>
    <t>Sumatera Selatan</t>
  </si>
  <si>
    <t>Wadiah</t>
  </si>
  <si>
    <t>Jawa Barat</t>
  </si>
  <si>
    <t>Tab Hajj</t>
  </si>
  <si>
    <t>Tier Prioritas</t>
  </si>
  <si>
    <t>Name</t>
  </si>
  <si>
    <t>Code</t>
  </si>
  <si>
    <t>Flag</t>
  </si>
  <si>
    <t>Privilage</t>
  </si>
  <si>
    <t>Sum of Balance</t>
  </si>
  <si>
    <t>Row Labels</t>
  </si>
  <si>
    <t>Grand Total</t>
  </si>
  <si>
    <t>Total Customer</t>
  </si>
  <si>
    <t>Average of Balance</t>
  </si>
  <si>
    <t>*Summary Data</t>
  </si>
  <si>
    <t>*Total Customer &amp; Balance by Segment</t>
  </si>
  <si>
    <t>Total Balance</t>
  </si>
  <si>
    <t>*Customer by Age Grade</t>
  </si>
  <si>
    <t>Customer Profiling</t>
  </si>
  <si>
    <t>*Product Distribution</t>
  </si>
  <si>
    <t>Column Labels</t>
  </si>
  <si>
    <t>Gender</t>
  </si>
  <si>
    <t>Male</t>
  </si>
  <si>
    <t>Female</t>
  </si>
  <si>
    <t>Total</t>
  </si>
  <si>
    <t>*Priority Leads by Region</t>
  </si>
  <si>
    <t>Count of Flag</t>
  </si>
  <si>
    <t>Tier Priority</t>
  </si>
  <si>
    <t>CUSTOMER LEADS POTENTIAL ANALYSIS DASHBOARD</t>
  </si>
  <si>
    <t>I. Summary Performance</t>
  </si>
  <si>
    <t>Average Balance</t>
  </si>
  <si>
    <t>Total High Priority Customer</t>
  </si>
  <si>
    <t>II. Customer Analysis</t>
  </si>
  <si>
    <t>KEY FINDINGS</t>
  </si>
  <si>
    <t>●</t>
  </si>
  <si>
    <t>The majority of customers are concentrated in the Mass Market segment.</t>
  </si>
  <si>
    <t>funding contribution from this customer group.</t>
  </si>
  <si>
    <t xml:space="preserve">Grade B represents the largest customer group, accounting for 34% of the total customer population based on </t>
  </si>
  <si>
    <t>age classification.</t>
  </si>
  <si>
    <t xml:space="preserve">High-priority customers are mainly concentrated in the Jawa Barat region, indicating a potential target area for </t>
  </si>
  <si>
    <t>marketing activities.</t>
  </si>
  <si>
    <t>the most potential target for marketing</t>
  </si>
  <si>
    <t xml:space="preserve">The combination of customer segment and age grade identifies B customers as High Priority, representing </t>
  </si>
  <si>
    <t>*Priority Leads by Customer Age</t>
  </si>
  <si>
    <t xml:space="preserve">The Privilege segment contributes the highest total balance with balance 2,919,740,465, indicating a higher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</si>
</sst>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6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6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Segoe UI Symbol"/>
      <family val="2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1" xfId="0" applyBorder="1"/>
    <xf numFmtId="9" fontId="2" fillId="3" borderId="1" xfId="0" applyNumberFormat="1" applyFont="1" applyFill="1" applyBorder="1"/>
    <xf numFmtId="0" fontId="2" fillId="3" borderId="1" xfId="0" applyFont="1" applyFill="1" applyBorder="1"/>
    <xf numFmtId="9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0" borderId="1" xfId="0" applyNumberFormat="1" applyBorder="1"/>
    <xf numFmtId="164" fontId="0" fillId="0" borderId="1" xfId="1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/>
    </xf>
    <xf numFmtId="166" fontId="4" fillId="0" borderId="1" xfId="1" applyNumberFormat="1" applyFont="1" applyBorder="1"/>
    <xf numFmtId="166" fontId="5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0" fillId="0" borderId="0" xfId="0" applyNumberFormat="1"/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4" fillId="0" borderId="0" xfId="0" applyFont="1" applyBorder="1"/>
    <xf numFmtId="0" fontId="10" fillId="0" borderId="1" xfId="0" applyFont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0" fontId="8" fillId="0" borderId="0" xfId="0" applyFont="1" applyBorder="1"/>
    <xf numFmtId="0" fontId="4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 sz="1200"/>
              <a:t>Total Customer By</a:t>
            </a:r>
            <a:r>
              <a:rPr lang="en-US" sz="1200" baseline="0"/>
              <a:t> Segment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Chart!$C$21</c:f>
              <c:strCache>
                <c:ptCount val="1"/>
                <c:pt idx="0">
                  <c:v>Total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Chart!$B$22:$B$24</c:f>
              <c:strCache>
                <c:ptCount val="3"/>
                <c:pt idx="0">
                  <c:v>Mass Market</c:v>
                </c:pt>
                <c:pt idx="1">
                  <c:v>Privilege</c:v>
                </c:pt>
                <c:pt idx="2">
                  <c:v>Optimal</c:v>
                </c:pt>
              </c:strCache>
            </c:strRef>
          </c:cat>
          <c:val>
            <c:numRef>
              <c:f>Chart!$C$22:$C$24</c:f>
              <c:numCache>
                <c:formatCode>General</c:formatCode>
                <c:ptCount val="3"/>
                <c:pt idx="0">
                  <c:v>60</c:v>
                </c:pt>
                <c:pt idx="1">
                  <c:v>39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BB-4AC1-A291-8A640A2F6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axId val="387158656"/>
        <c:axId val="87688976"/>
      </c:barChart>
      <c:catAx>
        <c:axId val="3871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88976"/>
        <c:crosses val="autoZero"/>
        <c:auto val="1"/>
        <c:lblAlgn val="ctr"/>
        <c:lblOffset val="100"/>
        <c:noMultiLvlLbl val="0"/>
      </c:catAx>
      <c:valAx>
        <c:axId val="87688976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871586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 sz="1200"/>
              <a:t>Total Balance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Chart!$D$21</c:f>
              <c:strCache>
                <c:ptCount val="1"/>
                <c:pt idx="0">
                  <c:v>Total 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Chart!$B$22:$B$24</c:f>
              <c:strCache>
                <c:ptCount val="3"/>
                <c:pt idx="0">
                  <c:v>Mass Market</c:v>
                </c:pt>
                <c:pt idx="1">
                  <c:v>Privilege</c:v>
                </c:pt>
                <c:pt idx="2">
                  <c:v>Optimal</c:v>
                </c:pt>
              </c:strCache>
            </c:strRef>
          </c:cat>
          <c:val>
            <c:numRef>
              <c:f>Chart!$D$22:$D$24</c:f>
              <c:numCache>
                <c:formatCode>_(* #,##0_);_(* \(#,##0\);_(* "-"??_);_(@_)</c:formatCode>
                <c:ptCount val="3"/>
                <c:pt idx="0">
                  <c:v>293852589</c:v>
                </c:pt>
                <c:pt idx="1">
                  <c:v>2919740465</c:v>
                </c:pt>
                <c:pt idx="2">
                  <c:v>547048560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2-47E3-8F06-EF08DC746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axId val="387158656"/>
        <c:axId val="87688976"/>
      </c:barChart>
      <c:catAx>
        <c:axId val="38715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88976"/>
        <c:crosses val="autoZero"/>
        <c:auto val="1"/>
        <c:lblAlgn val="ctr"/>
        <c:lblOffset val="100"/>
        <c:noMultiLvlLbl val="0"/>
      </c:catAx>
      <c:valAx>
        <c:axId val="87688976"/>
        <c:scaling>
          <c:orientation val="minMax"/>
          <c:max val="3500000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871586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Customer by Age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944378757767099"/>
          <c:y val="0.16182705245053877"/>
          <c:w val="0.51637040577595528"/>
          <c:h val="0.72046331504252903"/>
        </c:manualLayout>
      </c:layout>
      <c:pieChart>
        <c:varyColors val="1"/>
        <c:ser>
          <c:idx val="0"/>
          <c:order val="0"/>
          <c:tx>
            <c:strRef>
              <c:f>Chart!$C$37:$C$40</c:f>
              <c:strCache>
                <c:ptCount val="4"/>
                <c:pt idx="0">
                  <c:v>31</c:v>
                </c:pt>
                <c:pt idx="1">
                  <c:v>46</c:v>
                </c:pt>
                <c:pt idx="2">
                  <c:v>35</c:v>
                </c:pt>
                <c:pt idx="3">
                  <c:v>22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Chart!$B$37:$B$40</c:f>
              <c:strCache>
                <c:ptCount val="4"/>
                <c:pt idx="0">
                  <c:v>Grade A</c:v>
                </c:pt>
                <c:pt idx="1">
                  <c:v>Grade B</c:v>
                </c:pt>
                <c:pt idx="2">
                  <c:v>Grade C</c:v>
                </c:pt>
                <c:pt idx="3">
                  <c:v>Grade D</c:v>
                </c:pt>
              </c:strCache>
            </c:strRef>
          </c:cat>
          <c:val>
            <c:numRef>
              <c:f>Chart!$C$37:$C$40</c:f>
              <c:numCache>
                <c:formatCode>General</c:formatCode>
                <c:ptCount val="4"/>
                <c:pt idx="0">
                  <c:v>31</c:v>
                </c:pt>
                <c:pt idx="1">
                  <c:v>46</c:v>
                </c:pt>
                <c:pt idx="2">
                  <c:v>35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6-4632-9823-B681EB60BA5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093196816851569E-2"/>
          <c:y val="0.905703688970528"/>
          <c:w val="0.80677081498997927"/>
          <c:h val="9.4296311029471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/>
              <a:t>Product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Chart!$E$51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Chart!$B$53:$B$57</c:f>
              <c:strCache>
                <c:ptCount val="5"/>
                <c:pt idx="0">
                  <c:v>Tab Syariah</c:v>
                </c:pt>
                <c:pt idx="1">
                  <c:v>Wadiah</c:v>
                </c:pt>
                <c:pt idx="2">
                  <c:v>Tab Hajj</c:v>
                </c:pt>
                <c:pt idx="3">
                  <c:v>Special Hajj</c:v>
                </c:pt>
                <c:pt idx="4">
                  <c:v>Tab Umroh</c:v>
                </c:pt>
              </c:strCache>
            </c:strRef>
          </c:cat>
          <c:val>
            <c:numRef>
              <c:f>Chart!$E$53:$E$57</c:f>
              <c:numCache>
                <c:formatCode>General</c:formatCode>
                <c:ptCount val="5"/>
                <c:pt idx="0">
                  <c:v>53</c:v>
                </c:pt>
                <c:pt idx="1">
                  <c:v>22</c:v>
                </c:pt>
                <c:pt idx="2">
                  <c:v>17</c:v>
                </c:pt>
                <c:pt idx="3">
                  <c:v>16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4-4538-B3FA-3699126E47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29197856"/>
        <c:axId val="87686096"/>
      </c:barChart>
      <c:catAx>
        <c:axId val="2919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86096"/>
        <c:crosses val="autoZero"/>
        <c:auto val="1"/>
        <c:lblAlgn val="ctr"/>
        <c:lblOffset val="100"/>
        <c:noMultiLvlLbl val="0"/>
      </c:catAx>
      <c:valAx>
        <c:axId val="876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1978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ID" sz="1200"/>
              <a:t>Tier</a:t>
            </a:r>
            <a:r>
              <a:rPr lang="en-ID" sz="1200" baseline="0"/>
              <a:t> Priority by Region</a:t>
            </a:r>
            <a:endParaRPr lang="en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Chart!$C$68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Chart!$B$69:$B$80</c:f>
              <c:strCache>
                <c:ptCount val="12"/>
                <c:pt idx="0">
                  <c:v>Jawa Barat</c:v>
                </c:pt>
                <c:pt idx="1">
                  <c:v>Sumatera Selatan</c:v>
                </c:pt>
                <c:pt idx="2">
                  <c:v>Jawa Tengah</c:v>
                </c:pt>
                <c:pt idx="3">
                  <c:v>Sulawesi Tenggara</c:v>
                </c:pt>
                <c:pt idx="4">
                  <c:v>Sulawesi Utara</c:v>
                </c:pt>
                <c:pt idx="5">
                  <c:v>Bali</c:v>
                </c:pt>
                <c:pt idx="6">
                  <c:v>Jawa Timur</c:v>
                </c:pt>
                <c:pt idx="7">
                  <c:v>Kalimantan</c:v>
                </c:pt>
                <c:pt idx="8">
                  <c:v>Sumatera Utara</c:v>
                </c:pt>
                <c:pt idx="9">
                  <c:v>Maluku</c:v>
                </c:pt>
                <c:pt idx="10">
                  <c:v>DKI Jakarta</c:v>
                </c:pt>
                <c:pt idx="11">
                  <c:v>Papua</c:v>
                </c:pt>
              </c:strCache>
            </c:strRef>
          </c:cat>
          <c:val>
            <c:numRef>
              <c:f>Chart!$C$69:$C$80</c:f>
              <c:numCache>
                <c:formatCode>General</c:formatCode>
                <c:ptCount val="12"/>
                <c:pt idx="0">
                  <c:v>16</c:v>
                </c:pt>
                <c:pt idx="1">
                  <c:v>10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1-47A2-AEC2-6DA7BF690743}"/>
            </c:ext>
          </c:extLst>
        </c:ser>
        <c:ser>
          <c:idx val="1"/>
          <c:order val="1"/>
          <c:tx>
            <c:strRef>
              <c:f>Chart!$D$68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Chart!$B$69:$B$80</c:f>
              <c:strCache>
                <c:ptCount val="12"/>
                <c:pt idx="0">
                  <c:v>Jawa Barat</c:v>
                </c:pt>
                <c:pt idx="1">
                  <c:v>Sumatera Selatan</c:v>
                </c:pt>
                <c:pt idx="2">
                  <c:v>Jawa Tengah</c:v>
                </c:pt>
                <c:pt idx="3">
                  <c:v>Sulawesi Tenggara</c:v>
                </c:pt>
                <c:pt idx="4">
                  <c:v>Sulawesi Utara</c:v>
                </c:pt>
                <c:pt idx="5">
                  <c:v>Bali</c:v>
                </c:pt>
                <c:pt idx="6">
                  <c:v>Jawa Timur</c:v>
                </c:pt>
                <c:pt idx="7">
                  <c:v>Kalimantan</c:v>
                </c:pt>
                <c:pt idx="8">
                  <c:v>Sumatera Utara</c:v>
                </c:pt>
                <c:pt idx="9">
                  <c:v>Maluku</c:v>
                </c:pt>
                <c:pt idx="10">
                  <c:v>DKI Jakarta</c:v>
                </c:pt>
                <c:pt idx="11">
                  <c:v>Papua</c:v>
                </c:pt>
              </c:strCache>
            </c:strRef>
          </c:cat>
          <c:val>
            <c:numRef>
              <c:f>Chart!$D$69:$D$80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1-47A2-AEC2-6DA7BF690743}"/>
            </c:ext>
          </c:extLst>
        </c:ser>
        <c:ser>
          <c:idx val="2"/>
          <c:order val="2"/>
          <c:tx>
            <c:strRef>
              <c:f>Chart!$E$68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Chart!$B$69:$B$80</c:f>
              <c:strCache>
                <c:ptCount val="12"/>
                <c:pt idx="0">
                  <c:v>Jawa Barat</c:v>
                </c:pt>
                <c:pt idx="1">
                  <c:v>Sumatera Selatan</c:v>
                </c:pt>
                <c:pt idx="2">
                  <c:v>Jawa Tengah</c:v>
                </c:pt>
                <c:pt idx="3">
                  <c:v>Sulawesi Tenggara</c:v>
                </c:pt>
                <c:pt idx="4">
                  <c:v>Sulawesi Utara</c:v>
                </c:pt>
                <c:pt idx="5">
                  <c:v>Bali</c:v>
                </c:pt>
                <c:pt idx="6">
                  <c:v>Jawa Timur</c:v>
                </c:pt>
                <c:pt idx="7">
                  <c:v>Kalimantan</c:v>
                </c:pt>
                <c:pt idx="8">
                  <c:v>Sumatera Utara</c:v>
                </c:pt>
                <c:pt idx="9">
                  <c:v>Maluku</c:v>
                </c:pt>
                <c:pt idx="10">
                  <c:v>DKI Jakarta</c:v>
                </c:pt>
                <c:pt idx="11">
                  <c:v>Papua</c:v>
                </c:pt>
              </c:strCache>
            </c:strRef>
          </c:cat>
          <c:val>
            <c:numRef>
              <c:f>Chart!$E$69:$E$80</c:f>
              <c:numCache>
                <c:formatCode>General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F1-47A2-AEC2-6DA7BF690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92124528"/>
        <c:axId val="87775856"/>
      </c:barChart>
      <c:catAx>
        <c:axId val="49212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6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775856"/>
        <c:crosses val="autoZero"/>
        <c:auto val="1"/>
        <c:lblAlgn val="ctr"/>
        <c:lblOffset val="100"/>
        <c:noMultiLvlLbl val="0"/>
      </c:catAx>
      <c:valAx>
        <c:axId val="8777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9212452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 sz="1200"/>
              <a:t>Total Customer By</a:t>
            </a:r>
            <a:r>
              <a:rPr lang="en-US" sz="1200" baseline="0"/>
              <a:t> Segment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Chart!$C$21</c:f>
              <c:strCache>
                <c:ptCount val="1"/>
                <c:pt idx="0">
                  <c:v>Total Customer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Chart!$B$22:$B$24</c:f>
              <c:strCache>
                <c:ptCount val="3"/>
                <c:pt idx="0">
                  <c:v>Mass Market</c:v>
                </c:pt>
                <c:pt idx="1">
                  <c:v>Privilege</c:v>
                </c:pt>
                <c:pt idx="2">
                  <c:v>Optimal</c:v>
                </c:pt>
              </c:strCache>
            </c:strRef>
          </c:cat>
          <c:val>
            <c:numRef>
              <c:f>Chart!$C$22:$C$24</c:f>
              <c:numCache>
                <c:formatCode>General</c:formatCode>
                <c:ptCount val="3"/>
                <c:pt idx="0">
                  <c:v>60</c:v>
                </c:pt>
                <c:pt idx="1">
                  <c:v>39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A-4178-BD39-2D9C9C985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axId val="387158656"/>
        <c:axId val="87688976"/>
      </c:barChart>
      <c:catAx>
        <c:axId val="38715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88976"/>
        <c:crosses val="autoZero"/>
        <c:auto val="1"/>
        <c:lblAlgn val="ctr"/>
        <c:lblOffset val="100"/>
        <c:noMultiLvlLbl val="0"/>
      </c:catAx>
      <c:valAx>
        <c:axId val="87688976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871586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 sz="1200"/>
              <a:t>Total Balance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Chart!$D$21</c:f>
              <c:strCache>
                <c:ptCount val="1"/>
                <c:pt idx="0">
                  <c:v>Total 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Chart!$B$22:$B$24</c:f>
              <c:strCache>
                <c:ptCount val="3"/>
                <c:pt idx="0">
                  <c:v>Mass Market</c:v>
                </c:pt>
                <c:pt idx="1">
                  <c:v>Privilege</c:v>
                </c:pt>
                <c:pt idx="2">
                  <c:v>Optimal</c:v>
                </c:pt>
              </c:strCache>
            </c:strRef>
          </c:cat>
          <c:val>
            <c:numRef>
              <c:f>Chart!$D$22:$D$24</c:f>
              <c:numCache>
                <c:formatCode>_(* #,##0_);_(* \(#,##0\);_(* "-"??_);_(@_)</c:formatCode>
                <c:ptCount val="3"/>
                <c:pt idx="0">
                  <c:v>293852589</c:v>
                </c:pt>
                <c:pt idx="1">
                  <c:v>2919740465</c:v>
                </c:pt>
                <c:pt idx="2">
                  <c:v>547048560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7-4DA2-BAED-C84FE303F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axId val="387158656"/>
        <c:axId val="87688976"/>
      </c:barChart>
      <c:catAx>
        <c:axId val="38715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88976"/>
        <c:crosses val="autoZero"/>
        <c:auto val="1"/>
        <c:lblAlgn val="ctr"/>
        <c:lblOffset val="100"/>
        <c:noMultiLvlLbl val="0"/>
      </c:catAx>
      <c:valAx>
        <c:axId val="87688976"/>
        <c:scaling>
          <c:orientation val="minMax"/>
          <c:max val="3500000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871586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Customer by Age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4944378757767099"/>
          <c:y val="0.16182705245053877"/>
          <c:w val="0.51637040577595528"/>
          <c:h val="0.72046331504252903"/>
        </c:manualLayout>
      </c:layout>
      <c:pieChart>
        <c:varyColors val="1"/>
        <c:ser>
          <c:idx val="0"/>
          <c:order val="0"/>
          <c:tx>
            <c:strRef>
              <c:f>Chart!$C$37:$C$40</c:f>
              <c:strCache>
                <c:ptCount val="4"/>
                <c:pt idx="0">
                  <c:v>31</c:v>
                </c:pt>
                <c:pt idx="1">
                  <c:v>46</c:v>
                </c:pt>
                <c:pt idx="2">
                  <c:v>35</c:v>
                </c:pt>
                <c:pt idx="3">
                  <c:v>22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08-4DE7-A110-9A8AA940E06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08-4DE7-A110-9A8AA940E06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08-4DE7-A110-9A8AA940E06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08-4DE7-A110-9A8AA940E063}"/>
              </c:ext>
            </c:extLst>
          </c:dPt>
          <c:dLbls>
            <c:spPr>
              <a:solidFill>
                <a:srgbClr val="00206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Chart!$B$37:$B$40</c:f>
              <c:strCache>
                <c:ptCount val="4"/>
                <c:pt idx="0">
                  <c:v>Grade A</c:v>
                </c:pt>
                <c:pt idx="1">
                  <c:v>Grade B</c:v>
                </c:pt>
                <c:pt idx="2">
                  <c:v>Grade C</c:v>
                </c:pt>
                <c:pt idx="3">
                  <c:v>Grade D</c:v>
                </c:pt>
              </c:strCache>
            </c:strRef>
          </c:cat>
          <c:val>
            <c:numRef>
              <c:f>Chart!$C$37:$C$40</c:f>
              <c:numCache>
                <c:formatCode>General</c:formatCode>
                <c:ptCount val="4"/>
                <c:pt idx="0">
                  <c:v>31</c:v>
                </c:pt>
                <c:pt idx="1">
                  <c:v>46</c:v>
                </c:pt>
                <c:pt idx="2">
                  <c:v>35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08-4DE7-A110-9A8AA940E0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2093196816851569E-2"/>
          <c:y val="0.905703688970528"/>
          <c:w val="0.80677081498997927"/>
          <c:h val="9.4296311029471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US"/>
              <a:t>Product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Chart!$E$51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Chart!$B$53:$B$57</c:f>
              <c:strCache>
                <c:ptCount val="5"/>
                <c:pt idx="0">
                  <c:v>Tab Syariah</c:v>
                </c:pt>
                <c:pt idx="1">
                  <c:v>Wadiah</c:v>
                </c:pt>
                <c:pt idx="2">
                  <c:v>Tab Hajj</c:v>
                </c:pt>
                <c:pt idx="3">
                  <c:v>Special Hajj</c:v>
                </c:pt>
                <c:pt idx="4">
                  <c:v>Tab Umroh</c:v>
                </c:pt>
              </c:strCache>
            </c:strRef>
          </c:cat>
          <c:val>
            <c:numRef>
              <c:f>Chart!$E$53:$E$57</c:f>
              <c:numCache>
                <c:formatCode>General</c:formatCode>
                <c:ptCount val="5"/>
                <c:pt idx="0">
                  <c:v>53</c:v>
                </c:pt>
                <c:pt idx="1">
                  <c:v>22</c:v>
                </c:pt>
                <c:pt idx="2">
                  <c:v>17</c:v>
                </c:pt>
                <c:pt idx="3">
                  <c:v>16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D-4502-ABAB-0FEEEA68227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overlap val="-43"/>
        <c:axId val="29197856"/>
        <c:axId val="87686096"/>
      </c:barChart>
      <c:catAx>
        <c:axId val="2919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686096"/>
        <c:crosses val="autoZero"/>
        <c:auto val="1"/>
        <c:lblAlgn val="ctr"/>
        <c:lblOffset val="100"/>
        <c:noMultiLvlLbl val="0"/>
      </c:catAx>
      <c:valAx>
        <c:axId val="876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919785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j-ea"/>
                <a:cs typeface="Times New Roman" panose="02020603050405020304" pitchFamily="18" charset="0"/>
              </a:defRPr>
            </a:pPr>
            <a:r>
              <a:rPr lang="en-ID" sz="1200"/>
              <a:t>Tier</a:t>
            </a:r>
            <a:r>
              <a:rPr lang="en-ID" sz="1200" baseline="0"/>
              <a:t> Priority by Region</a:t>
            </a:r>
            <a:endParaRPr lang="en-ID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none" spc="0" normalizeH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j-ea"/>
              <a:cs typeface="Times New Roman" panose="02020603050405020304" pitchFamily="18" charset="0"/>
            </a:defRPr>
          </a:pPr>
          <a:endParaRPr lang="en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Chart!$C$68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Chart!$B$69:$B$80</c:f>
              <c:strCache>
                <c:ptCount val="12"/>
                <c:pt idx="0">
                  <c:v>Jawa Barat</c:v>
                </c:pt>
                <c:pt idx="1">
                  <c:v>Sumatera Selatan</c:v>
                </c:pt>
                <c:pt idx="2">
                  <c:v>Jawa Tengah</c:v>
                </c:pt>
                <c:pt idx="3">
                  <c:v>Sulawesi Tenggara</c:v>
                </c:pt>
                <c:pt idx="4">
                  <c:v>Sulawesi Utara</c:v>
                </c:pt>
                <c:pt idx="5">
                  <c:v>Bali</c:v>
                </c:pt>
                <c:pt idx="6">
                  <c:v>Jawa Timur</c:v>
                </c:pt>
                <c:pt idx="7">
                  <c:v>Kalimantan</c:v>
                </c:pt>
                <c:pt idx="8">
                  <c:v>Sumatera Utara</c:v>
                </c:pt>
                <c:pt idx="9">
                  <c:v>Maluku</c:v>
                </c:pt>
                <c:pt idx="10">
                  <c:v>DKI Jakarta</c:v>
                </c:pt>
                <c:pt idx="11">
                  <c:v>Papua</c:v>
                </c:pt>
              </c:strCache>
            </c:strRef>
          </c:cat>
          <c:val>
            <c:numRef>
              <c:f>Chart!$C$69:$C$80</c:f>
              <c:numCache>
                <c:formatCode>General</c:formatCode>
                <c:ptCount val="12"/>
                <c:pt idx="0">
                  <c:v>16</c:v>
                </c:pt>
                <c:pt idx="1">
                  <c:v>10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9-426A-9CBB-6E3D2166594A}"/>
            </c:ext>
          </c:extLst>
        </c:ser>
        <c:ser>
          <c:idx val="1"/>
          <c:order val="1"/>
          <c:tx>
            <c:strRef>
              <c:f>Chart!$D$68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Chart!$B$69:$B$80</c:f>
              <c:strCache>
                <c:ptCount val="12"/>
                <c:pt idx="0">
                  <c:v>Jawa Barat</c:v>
                </c:pt>
                <c:pt idx="1">
                  <c:v>Sumatera Selatan</c:v>
                </c:pt>
                <c:pt idx="2">
                  <c:v>Jawa Tengah</c:v>
                </c:pt>
                <c:pt idx="3">
                  <c:v>Sulawesi Tenggara</c:v>
                </c:pt>
                <c:pt idx="4">
                  <c:v>Sulawesi Utara</c:v>
                </c:pt>
                <c:pt idx="5">
                  <c:v>Bali</c:v>
                </c:pt>
                <c:pt idx="6">
                  <c:v>Jawa Timur</c:v>
                </c:pt>
                <c:pt idx="7">
                  <c:v>Kalimantan</c:v>
                </c:pt>
                <c:pt idx="8">
                  <c:v>Sumatera Utara</c:v>
                </c:pt>
                <c:pt idx="9">
                  <c:v>Maluku</c:v>
                </c:pt>
                <c:pt idx="10">
                  <c:v>DKI Jakarta</c:v>
                </c:pt>
                <c:pt idx="11">
                  <c:v>Papua</c:v>
                </c:pt>
              </c:strCache>
            </c:strRef>
          </c:cat>
          <c:val>
            <c:numRef>
              <c:f>Chart!$D$69:$D$80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09-426A-9CBB-6E3D2166594A}"/>
            </c:ext>
          </c:extLst>
        </c:ser>
        <c:ser>
          <c:idx val="2"/>
          <c:order val="2"/>
          <c:tx>
            <c:strRef>
              <c:f>Chart!$E$68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Chart!$B$69:$B$80</c:f>
              <c:strCache>
                <c:ptCount val="12"/>
                <c:pt idx="0">
                  <c:v>Jawa Barat</c:v>
                </c:pt>
                <c:pt idx="1">
                  <c:v>Sumatera Selatan</c:v>
                </c:pt>
                <c:pt idx="2">
                  <c:v>Jawa Tengah</c:v>
                </c:pt>
                <c:pt idx="3">
                  <c:v>Sulawesi Tenggara</c:v>
                </c:pt>
                <c:pt idx="4">
                  <c:v>Sulawesi Utara</c:v>
                </c:pt>
                <c:pt idx="5">
                  <c:v>Bali</c:v>
                </c:pt>
                <c:pt idx="6">
                  <c:v>Jawa Timur</c:v>
                </c:pt>
                <c:pt idx="7">
                  <c:v>Kalimantan</c:v>
                </c:pt>
                <c:pt idx="8">
                  <c:v>Sumatera Utara</c:v>
                </c:pt>
                <c:pt idx="9">
                  <c:v>Maluku</c:v>
                </c:pt>
                <c:pt idx="10">
                  <c:v>DKI Jakarta</c:v>
                </c:pt>
                <c:pt idx="11">
                  <c:v>Papua</c:v>
                </c:pt>
              </c:strCache>
            </c:strRef>
          </c:cat>
          <c:val>
            <c:numRef>
              <c:f>Chart!$E$69:$E$80</c:f>
              <c:numCache>
                <c:formatCode>General</c:formatCode>
                <c:ptCount val="12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2</c:v>
                </c:pt>
                <c:pt idx="5">
                  <c:v>3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6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09-426A-9CBB-6E3D21665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492124528"/>
        <c:axId val="87775856"/>
      </c:barChart>
      <c:catAx>
        <c:axId val="49212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7775856"/>
        <c:crosses val="autoZero"/>
        <c:auto val="1"/>
        <c:lblAlgn val="ctr"/>
        <c:lblOffset val="100"/>
        <c:noMultiLvlLbl val="0"/>
      </c:catAx>
      <c:valAx>
        <c:axId val="8777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9212452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73025</xdr:colOff>
      <xdr:row>19</xdr:row>
      <xdr:rowOff>111125</xdr:rowOff>
    </xdr:from>
    <xdr:to>
      <xdr:col>7</xdr:col>
      <xdr:colOff>419100</xdr:colOff>
      <xdr:row>31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C7A3FE-AC1D-BC24-3A13-881E0B6A10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508000</xdr:colOff>
      <xdr:row>19</xdr:row>
      <xdr:rowOff>107950</xdr:rowOff>
    </xdr:from>
    <xdr:to>
      <xdr:col>14</xdr:col>
      <xdr:colOff>495300</xdr:colOff>
      <xdr:row>31</xdr:row>
      <xdr:rowOff>155575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601F27-4F4B-4450-B251-DB21E7DE3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41275</xdr:colOff>
      <xdr:row>34</xdr:row>
      <xdr:rowOff>85725</xdr:rowOff>
    </xdr:from>
    <xdr:to>
      <xdr:col>5</xdr:col>
      <xdr:colOff>438150</xdr:colOff>
      <xdr:row>46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321D36-120E-1FD9-E90F-43281634E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92075</xdr:colOff>
      <xdr:row>49</xdr:row>
      <xdr:rowOff>85725</xdr:rowOff>
    </xdr:from>
    <xdr:to>
      <xdr:col>10</xdr:col>
      <xdr:colOff>342900</xdr:colOff>
      <xdr:row>62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CDE63CE-75FD-E880-1468-0FD543A2F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47624</xdr:colOff>
      <xdr:row>65</xdr:row>
      <xdr:rowOff>73025</xdr:rowOff>
    </xdr:from>
    <xdr:to>
      <xdr:col>16</xdr:col>
      <xdr:colOff>254000</xdr:colOff>
      <xdr:row>81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068A44-540D-45EC-423E-42B3CA176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35277</xdr:colOff>
      <xdr:row>11</xdr:row>
      <xdr:rowOff>158748</xdr:rowOff>
    </xdr:from>
    <xdr:to>
      <xdr:col>6</xdr:col>
      <xdr:colOff>48330</xdr:colOff>
      <xdr:row>25</xdr:row>
      <xdr:rowOff>144636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F1773-2FD5-4FFA-9953-B42C181D0F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105834</xdr:colOff>
      <xdr:row>11</xdr:row>
      <xdr:rowOff>158748</xdr:rowOff>
    </xdr:from>
    <xdr:to>
      <xdr:col>9</xdr:col>
      <xdr:colOff>402167</xdr:colOff>
      <xdr:row>25</xdr:row>
      <xdr:rowOff>151692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2027EE-B0FC-48F5-BDE5-0081263FFA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35277</xdr:colOff>
      <xdr:row>27</xdr:row>
      <xdr:rowOff>35272</xdr:rowOff>
    </xdr:from>
    <xdr:to>
      <xdr:col>6</xdr:col>
      <xdr:colOff>56445</xdr:colOff>
      <xdr:row>40</xdr:row>
      <xdr:rowOff>148161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972495-0ACF-4484-8E7E-A28F8EE8C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105834</xdr:colOff>
      <xdr:row>27</xdr:row>
      <xdr:rowOff>28215</xdr:rowOff>
    </xdr:from>
    <xdr:to>
      <xdr:col>9</xdr:col>
      <xdr:colOff>423333</xdr:colOff>
      <xdr:row>40</xdr:row>
      <xdr:rowOff>132285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9BF0EC-D971-4BF5-9662-2A22D6518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35277</xdr:colOff>
      <xdr:row>42</xdr:row>
      <xdr:rowOff>2</xdr:rowOff>
    </xdr:from>
    <xdr:to>
      <xdr:col>9</xdr:col>
      <xdr:colOff>437443</xdr:colOff>
      <xdr:row>60</xdr:row>
      <xdr:rowOff>130529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9330C1-EF9E-4C1E-B478-B681DB2AF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 rki" refreshedDate="46242.315698958337" createdVersion="8" refreshedVersion="8" minRefreshableVersion="3" recordCount="134" xr:uid="{7DCAA2A6-2BA7-4E2C-B5AB-1D96DFC06DBA}">
  <cacheSource type="worksheet">
    <worksheetSource ref="A1:P135" sheet="Data Processing"/>
  </cacheSource>
  <cacheFields count="16">
    <cacheField name="CIF" numFmtId="0">
      <sharedItems containsSemiMixedTypes="0" containsString="0" containsNumber="1" containsInteger="1" minValue="1173603" maxValue="8882904"/>
    </cacheField>
    <cacheField name="Cust_Name" numFmtId="0">
      <sharedItems/>
    </cacheField>
    <cacheField name="Usia" numFmtId="0">
      <sharedItems containsSemiMixedTypes="0" containsString="0" containsNumber="1" containsInteger="1" minValue="15" maxValue="64"/>
    </cacheField>
    <cacheField name="Jenis Kelamin" numFmtId="0">
      <sharedItems count="2">
        <s v="Perempuan"/>
        <s v="Laki-laki"/>
      </sharedItems>
    </cacheField>
    <cacheField name="Date_Cif_Open" numFmtId="14">
      <sharedItems containsSemiMixedTypes="0" containsNonDate="0" containsDate="1" containsString="0" minDate="2020-01-16T00:00:00" maxDate="2025-08-15T00:00:00"/>
    </cacheField>
    <cacheField name="Acc_Number" numFmtId="0">
      <sharedItems containsSemiMixedTypes="0" containsString="0" containsNumber="1" containsInteger="1" minValue="222391" maxValue="992697"/>
    </cacheField>
    <cacheField name="Date_Acc_Open" numFmtId="14">
      <sharedItems containsSemiMixedTypes="0" containsNonDate="0" containsDate="1" containsString="0" minDate="2020-01-26T00:00:00" maxDate="2025-08-25T00:00:00"/>
    </cacheField>
    <cacheField name="Product_Code" numFmtId="0">
      <sharedItems containsSemiMixedTypes="0" containsString="0" containsNumber="1" containsInteger="1" minValue="413" maxValue="808"/>
    </cacheField>
    <cacheField name="Balance" numFmtId="164">
      <sharedItems containsSemiMixedTypes="0" containsString="0" containsNumber="1" containsInteger="1" minValue="1003910" maxValue="98558122"/>
    </cacheField>
    <cacheField name="Avg_Balance" numFmtId="164">
      <sharedItems containsSemiMixedTypes="0" containsString="0" containsNumber="1" containsInteger="1" minValue="2305551" maxValue="97437223"/>
    </cacheField>
    <cacheField name="SND" numFmtId="0">
      <sharedItems/>
    </cacheField>
    <cacheField name="Region" numFmtId="0">
      <sharedItems count="12">
        <s v="Jawa Barat"/>
        <s v="Sumatera Selatan"/>
        <s v="Jawa Tengah"/>
        <s v="Jawa Timur"/>
        <s v="Kalimantan"/>
        <s v="Sumatera Utara"/>
        <s v="DKI Jakarta"/>
        <s v="Papua"/>
        <s v="Bali"/>
        <s v="Maluku"/>
        <s v="Sulawesi Utara"/>
        <s v="Sulawesi Tenggara"/>
      </sharedItems>
    </cacheField>
    <cacheField name="Product Name" numFmtId="0">
      <sharedItems count="6">
        <s v="Tab Hajj"/>
        <s v="Wadiah"/>
        <s v="Special Hajj"/>
        <s v="Tab Umroh"/>
        <s v="Tab Valas "/>
        <s v="Tab Syariah"/>
      </sharedItems>
    </cacheField>
    <cacheField name="Cust Segmen" numFmtId="0">
      <sharedItems count="3">
        <s v="Mass Market"/>
        <s v="Optimal"/>
        <s v="Privilage"/>
      </sharedItems>
    </cacheField>
    <cacheField name="Cust Profiling" numFmtId="0">
      <sharedItems count="4">
        <s v="Grade A"/>
        <s v="Grade B"/>
        <s v="Grade C"/>
        <s v="Grade D"/>
      </sharedItems>
    </cacheField>
    <cacheField name="Flag" numFmtId="0">
      <sharedItems count="3">
        <s v="Low"/>
        <s v="High"/>
        <s v="Midd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2287021"/>
    <s v="Budi Kusuma"/>
    <n v="35"/>
    <x v="0"/>
    <d v="2021-05-21T00:00:00"/>
    <n v="445036"/>
    <d v="2021-05-31T00:00:00"/>
    <n v="621"/>
    <n v="2348116"/>
    <n v="8955367"/>
    <s v="SND01"/>
    <x v="0"/>
    <x v="0"/>
    <x v="0"/>
    <x v="0"/>
    <x v="0"/>
  </r>
  <r>
    <n v="3684345"/>
    <s v="Wulan Wibowo"/>
    <n v="29"/>
    <x v="1"/>
    <d v="2025-05-05T00:00:00"/>
    <n v="690376"/>
    <d v="2025-05-15T00:00:00"/>
    <n v="620"/>
    <n v="4632122"/>
    <n v="6250736"/>
    <s v="SND02"/>
    <x v="1"/>
    <x v="1"/>
    <x v="0"/>
    <x v="0"/>
    <x v="0"/>
  </r>
  <r>
    <n v="6507231"/>
    <s v="Yudi Santoso"/>
    <n v="37"/>
    <x v="0"/>
    <d v="2022-07-19T00:00:00"/>
    <n v="726795"/>
    <d v="2022-07-29T00:00:00"/>
    <n v="521"/>
    <n v="4676007"/>
    <n v="6844373"/>
    <s v="SND03"/>
    <x v="2"/>
    <x v="2"/>
    <x v="0"/>
    <x v="1"/>
    <x v="0"/>
  </r>
  <r>
    <n v="2306909"/>
    <s v="Hendra Permana"/>
    <n v="25"/>
    <x v="0"/>
    <d v="2024-12-17T00:00:00"/>
    <n v="471359"/>
    <d v="2024-12-27T00:00:00"/>
    <n v="808"/>
    <n v="5717876"/>
    <n v="8325624"/>
    <s v="SND04"/>
    <x v="3"/>
    <x v="3"/>
    <x v="0"/>
    <x v="2"/>
    <x v="0"/>
  </r>
  <r>
    <n v="6713678"/>
    <s v="Rina Rahayu"/>
    <n v="29"/>
    <x v="0"/>
    <d v="2022-03-11T00:00:00"/>
    <n v="222391"/>
    <d v="2022-03-21T00:00:00"/>
    <n v="413"/>
    <n v="2158895"/>
    <n v="8347943"/>
    <s v="SND05"/>
    <x v="4"/>
    <x v="4"/>
    <x v="0"/>
    <x v="0"/>
    <x v="0"/>
  </r>
  <r>
    <n v="3477250"/>
    <s v="Lina Wibowo"/>
    <n v="45"/>
    <x v="0"/>
    <d v="2023-03-07T00:00:00"/>
    <n v="784959"/>
    <d v="2023-03-17T00:00:00"/>
    <n v="712"/>
    <n v="2203171"/>
    <n v="5618396"/>
    <s v="SND06"/>
    <x v="5"/>
    <x v="5"/>
    <x v="0"/>
    <x v="1"/>
    <x v="0"/>
  </r>
  <r>
    <n v="2446706"/>
    <s v="Joko Sari"/>
    <n v="55"/>
    <x v="0"/>
    <d v="2020-12-31T00:00:00"/>
    <n v="670347"/>
    <d v="2021-01-10T00:00:00"/>
    <n v="621"/>
    <n v="3722178"/>
    <n v="6563564"/>
    <s v="SND07"/>
    <x v="6"/>
    <x v="0"/>
    <x v="0"/>
    <x v="1"/>
    <x v="0"/>
  </r>
  <r>
    <n v="8882904"/>
    <s v="Hadi Saputri"/>
    <n v="20"/>
    <x v="0"/>
    <d v="2021-12-24T00:00:00"/>
    <n v="992697"/>
    <d v="2022-01-03T00:00:00"/>
    <n v="620"/>
    <n v="2173515"/>
    <n v="5182322"/>
    <s v="SND08"/>
    <x v="7"/>
    <x v="1"/>
    <x v="0"/>
    <x v="2"/>
    <x v="0"/>
  </r>
  <r>
    <n v="2985075"/>
    <s v="Kartika Kurniawan"/>
    <n v="64"/>
    <x v="0"/>
    <d v="2023-05-31T00:00:00"/>
    <n v="855807"/>
    <d v="2023-06-10T00:00:00"/>
    <n v="521"/>
    <n v="5867720"/>
    <n v="7688655"/>
    <s v="SND09"/>
    <x v="8"/>
    <x v="2"/>
    <x v="0"/>
    <x v="3"/>
    <x v="0"/>
  </r>
  <r>
    <n v="3365113"/>
    <s v="Indah Ramadhan"/>
    <n v="31"/>
    <x v="0"/>
    <d v="2020-02-13T00:00:00"/>
    <n v="782420"/>
    <d v="2020-02-23T00:00:00"/>
    <n v="808"/>
    <n v="7629989"/>
    <n v="6784112"/>
    <s v="SND10"/>
    <x v="9"/>
    <x v="3"/>
    <x v="0"/>
    <x v="0"/>
    <x v="0"/>
  </r>
  <r>
    <n v="8369052"/>
    <s v="Dewi Nugroho"/>
    <n v="28"/>
    <x v="1"/>
    <d v="2022-11-18T00:00:00"/>
    <n v="800474"/>
    <d v="2022-11-28T00:00:00"/>
    <n v="413"/>
    <n v="18287346"/>
    <n v="20678701"/>
    <s v="SND11"/>
    <x v="10"/>
    <x v="4"/>
    <x v="1"/>
    <x v="0"/>
    <x v="1"/>
  </r>
  <r>
    <n v="2918715"/>
    <s v="Joko Putra"/>
    <n v="47"/>
    <x v="1"/>
    <d v="2023-05-22T00:00:00"/>
    <n v="607697"/>
    <d v="2023-06-01T00:00:00"/>
    <n v="712"/>
    <n v="6355438"/>
    <n v="11137340"/>
    <s v="SND12"/>
    <x v="11"/>
    <x v="5"/>
    <x v="0"/>
    <x v="1"/>
    <x v="0"/>
  </r>
  <r>
    <n v="4849083"/>
    <s v="Eka Wijaya"/>
    <n v="16"/>
    <x v="0"/>
    <d v="2021-08-28T00:00:00"/>
    <n v="695274"/>
    <d v="2021-09-07T00:00:00"/>
    <n v="621"/>
    <n v="9144128"/>
    <n v="23156763"/>
    <s v="SND03"/>
    <x v="2"/>
    <x v="0"/>
    <x v="0"/>
    <x v="2"/>
    <x v="0"/>
  </r>
  <r>
    <n v="5113873"/>
    <s v="Putri Kusuma"/>
    <n v="22"/>
    <x v="0"/>
    <d v="2025-02-12T00:00:00"/>
    <n v="383843"/>
    <d v="2025-02-22T00:00:00"/>
    <n v="620"/>
    <n v="14876013"/>
    <n v="5558765"/>
    <s v="SND04"/>
    <x v="3"/>
    <x v="1"/>
    <x v="1"/>
    <x v="2"/>
    <x v="2"/>
  </r>
  <r>
    <n v="5881429"/>
    <s v="Hendra Kusuma"/>
    <n v="62"/>
    <x v="0"/>
    <d v="2020-06-10T00:00:00"/>
    <n v="970687"/>
    <d v="2020-06-20T00:00:00"/>
    <n v="521"/>
    <n v="17183899"/>
    <n v="24492905"/>
    <s v="SND05"/>
    <x v="4"/>
    <x v="2"/>
    <x v="1"/>
    <x v="3"/>
    <x v="2"/>
  </r>
  <r>
    <n v="8573274"/>
    <s v="Indah Kurniawan"/>
    <n v="57"/>
    <x v="0"/>
    <d v="2023-11-25T00:00:00"/>
    <n v="819522"/>
    <d v="2023-12-05T00:00:00"/>
    <n v="808"/>
    <n v="14642960"/>
    <n v="28520880"/>
    <s v="SND06"/>
    <x v="5"/>
    <x v="3"/>
    <x v="1"/>
    <x v="3"/>
    <x v="2"/>
  </r>
  <r>
    <n v="6265976"/>
    <s v="Fitri Susanti"/>
    <n v="21"/>
    <x v="0"/>
    <d v="2020-02-13T00:00:00"/>
    <n v="408181"/>
    <d v="2020-02-23T00:00:00"/>
    <n v="413"/>
    <n v="13499694"/>
    <n v="18546605"/>
    <s v="SND01"/>
    <x v="0"/>
    <x v="4"/>
    <x v="1"/>
    <x v="2"/>
    <x v="2"/>
  </r>
  <r>
    <n v="2288253"/>
    <s v="Erna Hidayat"/>
    <n v="30"/>
    <x v="0"/>
    <d v="2021-05-01T00:00:00"/>
    <n v="559401"/>
    <d v="2021-05-11T00:00:00"/>
    <n v="712"/>
    <n v="18915499"/>
    <n v="11478093"/>
    <s v="SND02"/>
    <x v="1"/>
    <x v="5"/>
    <x v="1"/>
    <x v="0"/>
    <x v="1"/>
  </r>
  <r>
    <n v="8078818"/>
    <s v="Hadi Halim"/>
    <n v="58"/>
    <x v="1"/>
    <d v="2022-12-29T00:00:00"/>
    <n v="740849"/>
    <d v="2023-01-08T00:00:00"/>
    <n v="621"/>
    <n v="13447101"/>
    <n v="29853111"/>
    <s v="SND03"/>
    <x v="2"/>
    <x v="0"/>
    <x v="1"/>
    <x v="3"/>
    <x v="2"/>
  </r>
  <r>
    <n v="6068619"/>
    <s v="Gilang Kurniawan"/>
    <n v="62"/>
    <x v="1"/>
    <d v="2024-03-27T00:00:00"/>
    <n v="464201"/>
    <d v="2024-04-06T00:00:00"/>
    <n v="620"/>
    <n v="15451751"/>
    <n v="21605243"/>
    <s v="SND04"/>
    <x v="3"/>
    <x v="1"/>
    <x v="1"/>
    <x v="3"/>
    <x v="2"/>
  </r>
  <r>
    <n v="2805431"/>
    <s v="Putri Nugroho"/>
    <n v="29"/>
    <x v="1"/>
    <d v="2022-10-19T00:00:00"/>
    <n v="557100"/>
    <d v="2022-10-29T00:00:00"/>
    <n v="521"/>
    <n v="17245926"/>
    <n v="9790888"/>
    <s v="SND05"/>
    <x v="4"/>
    <x v="2"/>
    <x v="1"/>
    <x v="0"/>
    <x v="1"/>
  </r>
  <r>
    <n v="7107439"/>
    <s v="Yudi Lestari"/>
    <n v="54"/>
    <x v="1"/>
    <d v="2022-07-27T00:00:00"/>
    <n v="855954"/>
    <d v="2022-08-06T00:00:00"/>
    <n v="808"/>
    <n v="12700508"/>
    <n v="28045783"/>
    <s v="SND06"/>
    <x v="5"/>
    <x v="3"/>
    <x v="1"/>
    <x v="1"/>
    <x v="1"/>
  </r>
  <r>
    <n v="2991283"/>
    <s v="Putri Putra"/>
    <n v="45"/>
    <x v="1"/>
    <d v="2025-01-24T00:00:00"/>
    <n v="303911"/>
    <d v="2025-02-03T00:00:00"/>
    <n v="413"/>
    <n v="5611240"/>
    <n v="26907957"/>
    <s v="SND07"/>
    <x v="6"/>
    <x v="4"/>
    <x v="0"/>
    <x v="1"/>
    <x v="0"/>
  </r>
  <r>
    <n v="4064701"/>
    <s v="Yudi Handoko"/>
    <n v="17"/>
    <x v="1"/>
    <d v="2024-07-07T00:00:00"/>
    <n v="222431"/>
    <d v="2024-07-17T00:00:00"/>
    <n v="712"/>
    <n v="15009149"/>
    <n v="18837109"/>
    <s v="SND08"/>
    <x v="7"/>
    <x v="5"/>
    <x v="1"/>
    <x v="2"/>
    <x v="2"/>
  </r>
  <r>
    <n v="4135053"/>
    <s v="Citra Susanto"/>
    <n v="32"/>
    <x v="1"/>
    <d v="2022-02-18T00:00:00"/>
    <n v="929239"/>
    <d v="2022-02-28T00:00:00"/>
    <n v="621"/>
    <n v="18567258"/>
    <n v="21454990"/>
    <s v="SND09"/>
    <x v="8"/>
    <x v="0"/>
    <x v="1"/>
    <x v="0"/>
    <x v="1"/>
  </r>
  <r>
    <n v="6257928"/>
    <s v="Chandra Saputra"/>
    <n v="34"/>
    <x v="0"/>
    <d v="2021-11-07T00:00:00"/>
    <n v="477653"/>
    <d v="2021-11-17T00:00:00"/>
    <n v="620"/>
    <n v="19789506"/>
    <n v="13204992"/>
    <s v="SND10"/>
    <x v="9"/>
    <x v="1"/>
    <x v="1"/>
    <x v="0"/>
    <x v="1"/>
  </r>
  <r>
    <n v="7105047"/>
    <s v="Putri Kurniawan"/>
    <n v="26"/>
    <x v="1"/>
    <d v="2025-06-01T00:00:00"/>
    <n v="671586"/>
    <d v="2025-06-11T00:00:00"/>
    <n v="521"/>
    <n v="17505566"/>
    <n v="14493294"/>
    <s v="SND11"/>
    <x v="10"/>
    <x v="2"/>
    <x v="1"/>
    <x v="0"/>
    <x v="1"/>
  </r>
  <r>
    <n v="4943286"/>
    <s v="Nanda Susanti"/>
    <n v="52"/>
    <x v="0"/>
    <d v="2020-09-27T00:00:00"/>
    <n v="624509"/>
    <d v="2020-10-07T00:00:00"/>
    <n v="621"/>
    <n v="15035175"/>
    <n v="12562106"/>
    <s v="SND09"/>
    <x v="8"/>
    <x v="0"/>
    <x v="1"/>
    <x v="1"/>
    <x v="1"/>
  </r>
  <r>
    <n v="1299582"/>
    <s v="Putri Hidayat"/>
    <n v="63"/>
    <x v="1"/>
    <d v="2021-08-30T00:00:00"/>
    <n v="595671"/>
    <d v="2021-09-09T00:00:00"/>
    <n v="620"/>
    <n v="19840637"/>
    <n v="6874149"/>
    <s v="SND10"/>
    <x v="9"/>
    <x v="1"/>
    <x v="1"/>
    <x v="3"/>
    <x v="2"/>
  </r>
  <r>
    <n v="7720949"/>
    <s v="Indah Saputri"/>
    <n v="47"/>
    <x v="0"/>
    <d v="2020-08-28T00:00:00"/>
    <n v="867656"/>
    <d v="2020-09-07T00:00:00"/>
    <n v="521"/>
    <n v="6499856"/>
    <n v="21478502"/>
    <s v="SND11"/>
    <x v="10"/>
    <x v="2"/>
    <x v="0"/>
    <x v="1"/>
    <x v="0"/>
  </r>
  <r>
    <n v="5509941"/>
    <s v="Indah Permana"/>
    <n v="37"/>
    <x v="0"/>
    <d v="2022-05-17T00:00:00"/>
    <n v="567877"/>
    <d v="2022-05-27T00:00:00"/>
    <n v="621"/>
    <n v="17667235"/>
    <n v="26564261"/>
    <s v="SND12"/>
    <x v="11"/>
    <x v="0"/>
    <x v="1"/>
    <x v="1"/>
    <x v="1"/>
  </r>
  <r>
    <n v="5234443"/>
    <s v="Fajar Lestari"/>
    <n v="31"/>
    <x v="1"/>
    <d v="2020-10-13T00:00:00"/>
    <n v="612788"/>
    <d v="2020-10-23T00:00:00"/>
    <n v="620"/>
    <n v="19779502"/>
    <n v="8837021"/>
    <s v="SND03"/>
    <x v="2"/>
    <x v="1"/>
    <x v="1"/>
    <x v="0"/>
    <x v="1"/>
  </r>
  <r>
    <n v="1336094"/>
    <s v="Intan Susanto"/>
    <n v="57"/>
    <x v="1"/>
    <d v="2022-02-04T00:00:00"/>
    <n v="892166"/>
    <d v="2022-02-14T00:00:00"/>
    <n v="521"/>
    <n v="16911849"/>
    <n v="4366385"/>
    <s v="SND04"/>
    <x v="3"/>
    <x v="2"/>
    <x v="1"/>
    <x v="3"/>
    <x v="2"/>
  </r>
  <r>
    <n v="3189451"/>
    <s v="Chandra Saputra"/>
    <n v="25"/>
    <x v="0"/>
    <d v="2020-09-04T00:00:00"/>
    <n v="823344"/>
    <d v="2020-09-14T00:00:00"/>
    <n v="621"/>
    <n v="12267083"/>
    <n v="4936469"/>
    <s v="SND05"/>
    <x v="4"/>
    <x v="0"/>
    <x v="1"/>
    <x v="2"/>
    <x v="2"/>
  </r>
  <r>
    <n v="3240019"/>
    <s v="Budi Sari"/>
    <n v="47"/>
    <x v="0"/>
    <d v="2023-05-15T00:00:00"/>
    <n v="258561"/>
    <d v="2023-05-25T00:00:00"/>
    <n v="620"/>
    <n v="10790087"/>
    <n v="27215431"/>
    <s v="SND06"/>
    <x v="5"/>
    <x v="1"/>
    <x v="1"/>
    <x v="1"/>
    <x v="1"/>
  </r>
  <r>
    <n v="4699242"/>
    <s v="Eka Putra"/>
    <n v="38"/>
    <x v="1"/>
    <d v="2025-02-11T00:00:00"/>
    <n v="454757"/>
    <d v="2025-02-21T00:00:00"/>
    <n v="521"/>
    <n v="11874334"/>
    <n v="21570732"/>
    <s v="SND01"/>
    <x v="0"/>
    <x v="2"/>
    <x v="1"/>
    <x v="1"/>
    <x v="1"/>
  </r>
  <r>
    <n v="2867802"/>
    <s v="Fitri Kusuma"/>
    <n v="27"/>
    <x v="0"/>
    <d v="2021-06-05T00:00:00"/>
    <n v="566781"/>
    <d v="2021-06-15T00:00:00"/>
    <n v="621"/>
    <n v="10150895"/>
    <n v="29314589"/>
    <s v="SND02"/>
    <x v="1"/>
    <x v="0"/>
    <x v="1"/>
    <x v="0"/>
    <x v="1"/>
  </r>
  <r>
    <n v="2136937"/>
    <s v="Fajar Susanti"/>
    <n v="23"/>
    <x v="1"/>
    <d v="2022-01-26T00:00:00"/>
    <n v="271562"/>
    <d v="2022-02-05T00:00:00"/>
    <n v="620"/>
    <n v="19099072"/>
    <n v="8149661"/>
    <s v="SND03"/>
    <x v="2"/>
    <x v="1"/>
    <x v="1"/>
    <x v="2"/>
    <x v="2"/>
  </r>
  <r>
    <n v="3128151"/>
    <s v="Hadi Santoso"/>
    <n v="33"/>
    <x v="0"/>
    <d v="2024-02-01T00:00:00"/>
    <n v="314114"/>
    <d v="2024-02-11T00:00:00"/>
    <n v="521"/>
    <n v="6664500"/>
    <n v="12411708"/>
    <s v="SND01"/>
    <x v="0"/>
    <x v="2"/>
    <x v="0"/>
    <x v="0"/>
    <x v="0"/>
  </r>
  <r>
    <n v="5927810"/>
    <s v="Erna Putra"/>
    <n v="17"/>
    <x v="1"/>
    <d v="2023-07-29T00:00:00"/>
    <n v="601026"/>
    <d v="2023-08-08T00:00:00"/>
    <n v="621"/>
    <n v="13891439"/>
    <n v="19951382"/>
    <s v="SND02"/>
    <x v="1"/>
    <x v="0"/>
    <x v="1"/>
    <x v="2"/>
    <x v="2"/>
  </r>
  <r>
    <n v="7768822"/>
    <s v="Putri Wibowo"/>
    <n v="36"/>
    <x v="1"/>
    <d v="2025-01-23T00:00:00"/>
    <n v="448751"/>
    <d v="2025-02-02T00:00:00"/>
    <n v="620"/>
    <n v="12317440"/>
    <n v="26703716"/>
    <s v="SND03"/>
    <x v="2"/>
    <x v="1"/>
    <x v="1"/>
    <x v="1"/>
    <x v="1"/>
  </r>
  <r>
    <n v="3654687"/>
    <s v="Gilang Syahputra"/>
    <n v="47"/>
    <x v="1"/>
    <d v="2020-02-24T00:00:00"/>
    <n v="740410"/>
    <d v="2020-03-05T00:00:00"/>
    <n v="521"/>
    <n v="14755763"/>
    <n v="22759108"/>
    <s v="SND04"/>
    <x v="3"/>
    <x v="2"/>
    <x v="1"/>
    <x v="1"/>
    <x v="1"/>
  </r>
  <r>
    <n v="7586399"/>
    <s v="Bayu Nugroho"/>
    <n v="62"/>
    <x v="1"/>
    <d v="2022-12-15T00:00:00"/>
    <n v="508850"/>
    <d v="2022-12-25T00:00:00"/>
    <n v="712"/>
    <n v="7319461"/>
    <n v="7179407"/>
    <s v="SND09"/>
    <x v="8"/>
    <x v="5"/>
    <x v="0"/>
    <x v="3"/>
    <x v="0"/>
  </r>
  <r>
    <n v="4187863"/>
    <s v="Maya Wijaya"/>
    <n v="32"/>
    <x v="0"/>
    <d v="2020-11-21T00:00:00"/>
    <n v="861263"/>
    <d v="2020-12-01T00:00:00"/>
    <n v="712"/>
    <n v="5527170"/>
    <n v="3643301"/>
    <s v="SND10"/>
    <x v="9"/>
    <x v="5"/>
    <x v="0"/>
    <x v="0"/>
    <x v="0"/>
  </r>
  <r>
    <n v="4815127"/>
    <s v="Erna Wibowo"/>
    <n v="35"/>
    <x v="0"/>
    <d v="2020-02-02T00:00:00"/>
    <n v="367384"/>
    <d v="2020-02-12T00:00:00"/>
    <n v="712"/>
    <n v="8046824"/>
    <n v="16134032"/>
    <s v="SND11"/>
    <x v="10"/>
    <x v="5"/>
    <x v="0"/>
    <x v="0"/>
    <x v="0"/>
  </r>
  <r>
    <n v="4939445"/>
    <s v="Nanda Putra"/>
    <n v="63"/>
    <x v="0"/>
    <d v="2024-12-23T00:00:00"/>
    <n v="581196"/>
    <d v="2025-01-02T00:00:00"/>
    <n v="712"/>
    <n v="16639440"/>
    <n v="11869770"/>
    <s v="SND12"/>
    <x v="11"/>
    <x v="5"/>
    <x v="1"/>
    <x v="3"/>
    <x v="2"/>
  </r>
  <r>
    <n v="3323507"/>
    <s v="Maya Lestari"/>
    <n v="35"/>
    <x v="1"/>
    <d v="2023-01-11T00:00:00"/>
    <n v="919522"/>
    <d v="2023-01-21T00:00:00"/>
    <n v="712"/>
    <n v="13271810"/>
    <n v="6936306"/>
    <s v="SND03"/>
    <x v="2"/>
    <x v="5"/>
    <x v="1"/>
    <x v="0"/>
    <x v="1"/>
  </r>
  <r>
    <n v="1204998"/>
    <s v="Indah Susanti"/>
    <n v="25"/>
    <x v="0"/>
    <d v="2024-08-25T00:00:00"/>
    <n v="621052"/>
    <d v="2024-09-04T00:00:00"/>
    <n v="712"/>
    <n v="17834297"/>
    <n v="4756766"/>
    <s v="SND04"/>
    <x v="3"/>
    <x v="5"/>
    <x v="1"/>
    <x v="2"/>
    <x v="2"/>
  </r>
  <r>
    <n v="6802871"/>
    <s v="Nanda Sari"/>
    <n v="50"/>
    <x v="1"/>
    <d v="2022-06-24T00:00:00"/>
    <n v="280903"/>
    <d v="2022-07-04T00:00:00"/>
    <n v="712"/>
    <n v="15194618"/>
    <n v="3957314"/>
    <s v="SND05"/>
    <x v="4"/>
    <x v="5"/>
    <x v="1"/>
    <x v="1"/>
    <x v="1"/>
  </r>
  <r>
    <n v="1894133"/>
    <s v="Joko Hidayat"/>
    <n v="16"/>
    <x v="1"/>
    <d v="2024-06-26T00:00:00"/>
    <n v="724214"/>
    <d v="2024-07-06T00:00:00"/>
    <n v="712"/>
    <n v="18099027"/>
    <n v="11220974"/>
    <s v="SND06"/>
    <x v="5"/>
    <x v="5"/>
    <x v="1"/>
    <x v="2"/>
    <x v="2"/>
  </r>
  <r>
    <n v="6126785"/>
    <s v="Yudi Ramadhan"/>
    <n v="50"/>
    <x v="1"/>
    <d v="2025-03-31T00:00:00"/>
    <n v="612440"/>
    <d v="2025-04-10T00:00:00"/>
    <n v="712"/>
    <n v="8060959"/>
    <n v="4015191"/>
    <s v="SND01"/>
    <x v="0"/>
    <x v="5"/>
    <x v="0"/>
    <x v="1"/>
    <x v="0"/>
  </r>
  <r>
    <n v="4296337"/>
    <s v="Sinta Kurniawan"/>
    <n v="58"/>
    <x v="0"/>
    <d v="2021-06-24T00:00:00"/>
    <n v="382953"/>
    <d v="2021-07-04T00:00:00"/>
    <n v="712"/>
    <n v="8053265"/>
    <n v="28924534"/>
    <s v="SND02"/>
    <x v="1"/>
    <x v="5"/>
    <x v="0"/>
    <x v="3"/>
    <x v="0"/>
  </r>
  <r>
    <n v="4211498"/>
    <s v="Maya Wibowo"/>
    <n v="46"/>
    <x v="0"/>
    <d v="2022-02-15T00:00:00"/>
    <n v="669194"/>
    <d v="2022-02-25T00:00:00"/>
    <n v="712"/>
    <n v="11343322"/>
    <n v="9826103"/>
    <s v="SND03"/>
    <x v="2"/>
    <x v="5"/>
    <x v="1"/>
    <x v="1"/>
    <x v="1"/>
  </r>
  <r>
    <n v="8868806"/>
    <s v="Teguh Santoso"/>
    <n v="41"/>
    <x v="1"/>
    <d v="2020-10-26T00:00:00"/>
    <n v="263382"/>
    <d v="2020-11-05T00:00:00"/>
    <n v="712"/>
    <n v="7406005"/>
    <n v="18618038"/>
    <s v="SND04"/>
    <x v="3"/>
    <x v="5"/>
    <x v="0"/>
    <x v="1"/>
    <x v="0"/>
  </r>
  <r>
    <n v="7967268"/>
    <s v="Ahmad Handoko"/>
    <n v="53"/>
    <x v="1"/>
    <d v="2020-02-29T00:00:00"/>
    <n v="850429"/>
    <d v="2020-03-10T00:00:00"/>
    <n v="712"/>
    <n v="1296036"/>
    <n v="2917443"/>
    <s v="SND05"/>
    <x v="4"/>
    <x v="5"/>
    <x v="0"/>
    <x v="1"/>
    <x v="0"/>
  </r>
  <r>
    <n v="5085108"/>
    <s v="Chandra Nugroho"/>
    <n v="34"/>
    <x v="1"/>
    <d v="2020-07-02T00:00:00"/>
    <n v="782353"/>
    <d v="2020-07-12T00:00:00"/>
    <n v="712"/>
    <n v="5916064"/>
    <n v="2462488"/>
    <s v="SND06"/>
    <x v="5"/>
    <x v="5"/>
    <x v="0"/>
    <x v="0"/>
    <x v="0"/>
  </r>
  <r>
    <n v="5573033"/>
    <s v="Bayu Kusuma"/>
    <n v="20"/>
    <x v="1"/>
    <d v="2021-03-01T00:00:00"/>
    <n v="332449"/>
    <d v="2021-03-11T00:00:00"/>
    <n v="712"/>
    <n v="1003910"/>
    <n v="7150798"/>
    <s v="SND07"/>
    <x v="6"/>
    <x v="5"/>
    <x v="0"/>
    <x v="2"/>
    <x v="0"/>
  </r>
  <r>
    <n v="2876035"/>
    <s v="Dewi Lestari"/>
    <n v="48"/>
    <x v="1"/>
    <d v="2020-01-23T00:00:00"/>
    <n v="928860"/>
    <d v="2020-02-02T00:00:00"/>
    <n v="712"/>
    <n v="7443538"/>
    <n v="8380372"/>
    <s v="SND08"/>
    <x v="7"/>
    <x v="5"/>
    <x v="0"/>
    <x v="1"/>
    <x v="0"/>
  </r>
  <r>
    <n v="5488680"/>
    <s v="Putri Handoko"/>
    <n v="55"/>
    <x v="1"/>
    <d v="2024-04-17T00:00:00"/>
    <n v="336482"/>
    <d v="2024-04-27T00:00:00"/>
    <n v="712"/>
    <n v="3671034"/>
    <n v="2344089"/>
    <s v="SND04"/>
    <x v="3"/>
    <x v="5"/>
    <x v="0"/>
    <x v="1"/>
    <x v="0"/>
  </r>
  <r>
    <n v="1425629"/>
    <s v="Kartika Wijaya"/>
    <n v="57"/>
    <x v="1"/>
    <d v="2020-10-29T00:00:00"/>
    <n v="285259"/>
    <d v="2020-11-08T00:00:00"/>
    <n v="712"/>
    <n v="5484200"/>
    <n v="6373782"/>
    <s v="SND04"/>
    <x v="3"/>
    <x v="5"/>
    <x v="0"/>
    <x v="3"/>
    <x v="0"/>
  </r>
  <r>
    <n v="3209589"/>
    <s v="Indah Sari"/>
    <n v="28"/>
    <x v="1"/>
    <d v="2020-01-16T00:00:00"/>
    <n v="522026"/>
    <d v="2020-01-26T00:00:00"/>
    <n v="712"/>
    <n v="5736609"/>
    <n v="2377379"/>
    <s v="SND04"/>
    <x v="3"/>
    <x v="5"/>
    <x v="0"/>
    <x v="0"/>
    <x v="0"/>
  </r>
  <r>
    <n v="3617129"/>
    <s v="Ahmad Putra"/>
    <n v="25"/>
    <x v="0"/>
    <d v="2024-03-24T00:00:00"/>
    <n v="961658"/>
    <d v="2024-04-03T00:00:00"/>
    <n v="712"/>
    <n v="1331445"/>
    <n v="8610335"/>
    <s v="SND05"/>
    <x v="4"/>
    <x v="5"/>
    <x v="0"/>
    <x v="2"/>
    <x v="0"/>
  </r>
  <r>
    <n v="2379049"/>
    <s v="Yudi Purnama"/>
    <n v="62"/>
    <x v="1"/>
    <d v="2023-09-19T00:00:00"/>
    <n v="552006"/>
    <d v="2023-09-29T00:00:00"/>
    <n v="712"/>
    <n v="7395207"/>
    <n v="3548196"/>
    <s v="SND06"/>
    <x v="5"/>
    <x v="5"/>
    <x v="0"/>
    <x v="3"/>
    <x v="0"/>
  </r>
  <r>
    <n v="7736390"/>
    <s v="Teguh Utami"/>
    <n v="61"/>
    <x v="0"/>
    <d v="2022-11-25T00:00:00"/>
    <n v="679854"/>
    <d v="2022-12-05T00:00:00"/>
    <n v="712"/>
    <n v="7373536"/>
    <n v="3542889"/>
    <s v="SND01"/>
    <x v="0"/>
    <x v="5"/>
    <x v="0"/>
    <x v="3"/>
    <x v="0"/>
  </r>
  <r>
    <n v="7272250"/>
    <s v="Oki Syahputra"/>
    <n v="55"/>
    <x v="1"/>
    <d v="2020-05-23T00:00:00"/>
    <n v="491294"/>
    <d v="2020-06-02T00:00:00"/>
    <n v="712"/>
    <n v="1880751"/>
    <n v="4043924"/>
    <s v="SND08"/>
    <x v="7"/>
    <x v="5"/>
    <x v="0"/>
    <x v="1"/>
    <x v="0"/>
  </r>
  <r>
    <n v="6800195"/>
    <s v="Joko Susanti"/>
    <n v="43"/>
    <x v="1"/>
    <d v="2020-07-04T00:00:00"/>
    <n v="383039"/>
    <d v="2020-07-14T00:00:00"/>
    <n v="712"/>
    <n v="1940227"/>
    <n v="2682491"/>
    <s v="SND08"/>
    <x v="7"/>
    <x v="5"/>
    <x v="0"/>
    <x v="1"/>
    <x v="0"/>
  </r>
  <r>
    <n v="7435628"/>
    <s v="Zahra Rahayu"/>
    <n v="17"/>
    <x v="0"/>
    <d v="2022-12-05T00:00:00"/>
    <n v="924643"/>
    <d v="2022-12-15T00:00:00"/>
    <n v="712"/>
    <n v="5762246"/>
    <n v="2934830"/>
    <s v="SND08"/>
    <x v="7"/>
    <x v="5"/>
    <x v="0"/>
    <x v="2"/>
    <x v="0"/>
  </r>
  <r>
    <n v="2668940"/>
    <s v="Hendra Rahayu"/>
    <n v="27"/>
    <x v="0"/>
    <d v="2020-09-16T00:00:00"/>
    <n v="368461"/>
    <d v="2020-09-26T00:00:00"/>
    <n v="712"/>
    <n v="1839986"/>
    <n v="3898348"/>
    <s v="SND08"/>
    <x v="7"/>
    <x v="5"/>
    <x v="0"/>
    <x v="0"/>
    <x v="0"/>
  </r>
  <r>
    <n v="6451744"/>
    <s v="Intan Kusuma"/>
    <n v="24"/>
    <x v="1"/>
    <d v="2024-05-08T00:00:00"/>
    <n v="723769"/>
    <d v="2024-05-18T00:00:00"/>
    <n v="712"/>
    <n v="5011595"/>
    <n v="4978997"/>
    <s v="SND07"/>
    <x v="6"/>
    <x v="5"/>
    <x v="0"/>
    <x v="2"/>
    <x v="0"/>
  </r>
  <r>
    <n v="4999597"/>
    <s v="Rina Hidayat"/>
    <n v="55"/>
    <x v="0"/>
    <d v="2024-12-31T00:00:00"/>
    <n v="287509"/>
    <d v="2025-01-10T00:00:00"/>
    <n v="712"/>
    <n v="4982805"/>
    <n v="4198545"/>
    <s v="SND07"/>
    <x v="6"/>
    <x v="5"/>
    <x v="0"/>
    <x v="1"/>
    <x v="0"/>
  </r>
  <r>
    <n v="2244934"/>
    <s v="Hadi Saputra"/>
    <n v="20"/>
    <x v="1"/>
    <d v="2021-11-24T00:00:00"/>
    <n v="644458"/>
    <d v="2021-12-04T00:00:00"/>
    <n v="712"/>
    <n v="6706204"/>
    <n v="8187173"/>
    <s v="SND12"/>
    <x v="11"/>
    <x v="5"/>
    <x v="0"/>
    <x v="2"/>
    <x v="0"/>
  </r>
  <r>
    <n v="5839820"/>
    <s v="Lina Ramadhan"/>
    <n v="39"/>
    <x v="0"/>
    <d v="2025-05-18T00:00:00"/>
    <n v="637043"/>
    <d v="2025-05-28T00:00:00"/>
    <n v="712"/>
    <n v="2977864"/>
    <n v="4106434"/>
    <s v="SND12"/>
    <x v="11"/>
    <x v="5"/>
    <x v="0"/>
    <x v="1"/>
    <x v="0"/>
  </r>
  <r>
    <n v="7614009"/>
    <s v="Zahra Setiawan"/>
    <n v="17"/>
    <x v="1"/>
    <d v="2023-01-29T00:00:00"/>
    <n v="413393"/>
    <d v="2023-02-08T00:00:00"/>
    <n v="712"/>
    <n v="7685578"/>
    <n v="2305551"/>
    <s v="SND12"/>
    <x v="11"/>
    <x v="5"/>
    <x v="0"/>
    <x v="2"/>
    <x v="0"/>
  </r>
  <r>
    <n v="5725578"/>
    <s v="Zahra Wibowo"/>
    <n v="45"/>
    <x v="1"/>
    <d v="2022-05-15T00:00:00"/>
    <n v="559128"/>
    <d v="2022-05-25T00:00:00"/>
    <n v="712"/>
    <n v="3843021"/>
    <n v="4289318"/>
    <s v="SND12"/>
    <x v="11"/>
    <x v="5"/>
    <x v="0"/>
    <x v="1"/>
    <x v="0"/>
  </r>
  <r>
    <n v="1523208"/>
    <s v="Nanda Sari"/>
    <n v="30"/>
    <x v="1"/>
    <d v="2023-05-29T00:00:00"/>
    <n v="936386"/>
    <d v="2023-06-08T00:00:00"/>
    <n v="712"/>
    <n v="4898438"/>
    <n v="5511340"/>
    <s v="SND12"/>
    <x v="11"/>
    <x v="5"/>
    <x v="0"/>
    <x v="0"/>
    <x v="0"/>
  </r>
  <r>
    <n v="2246321"/>
    <s v="Ahmad Wibowo"/>
    <n v="33"/>
    <x v="1"/>
    <d v="2025-08-14T00:00:00"/>
    <n v="708929"/>
    <d v="2025-08-24T00:00:00"/>
    <n v="712"/>
    <n v="1411191"/>
    <n v="5761288"/>
    <s v="SND12"/>
    <x v="11"/>
    <x v="5"/>
    <x v="0"/>
    <x v="0"/>
    <x v="0"/>
  </r>
  <r>
    <n v="4802566"/>
    <s v="Rina Kurniawan"/>
    <n v="15"/>
    <x v="0"/>
    <d v="2022-06-09T00:00:00"/>
    <n v="991586"/>
    <d v="2022-06-19T00:00:00"/>
    <n v="712"/>
    <n v="4995096"/>
    <n v="3178238"/>
    <s v="SND12"/>
    <x v="11"/>
    <x v="5"/>
    <x v="0"/>
    <x v="2"/>
    <x v="0"/>
  </r>
  <r>
    <n v="3584130"/>
    <s v="Kartika Santoso"/>
    <n v="55"/>
    <x v="1"/>
    <d v="2022-09-25T00:00:00"/>
    <n v="887065"/>
    <d v="2022-10-05T00:00:00"/>
    <n v="712"/>
    <n v="3628982"/>
    <n v="2852846"/>
    <s v="SND12"/>
    <x v="11"/>
    <x v="5"/>
    <x v="0"/>
    <x v="1"/>
    <x v="0"/>
  </r>
  <r>
    <n v="1650584"/>
    <s v="Erna Pratama"/>
    <n v="33"/>
    <x v="0"/>
    <d v="2023-05-31T00:00:00"/>
    <n v="258214"/>
    <d v="2023-06-10T00:00:00"/>
    <n v="712"/>
    <n v="6082501"/>
    <n v="2480142"/>
    <s v="SND12"/>
    <x v="11"/>
    <x v="5"/>
    <x v="0"/>
    <x v="0"/>
    <x v="0"/>
  </r>
  <r>
    <n v="7950565"/>
    <s v="Fitri Saputra"/>
    <n v="51"/>
    <x v="1"/>
    <d v="2025-06-01T00:00:00"/>
    <n v="345788"/>
    <d v="2025-06-11T00:00:00"/>
    <n v="712"/>
    <n v="4560632"/>
    <n v="5074009"/>
    <s v="SND12"/>
    <x v="11"/>
    <x v="5"/>
    <x v="0"/>
    <x v="1"/>
    <x v="0"/>
  </r>
  <r>
    <n v="5736510"/>
    <s v="Eka Ramadhan"/>
    <n v="44"/>
    <x v="1"/>
    <d v="2020-09-21T00:00:00"/>
    <n v="539464"/>
    <d v="2020-10-01T00:00:00"/>
    <n v="712"/>
    <n v="2546303"/>
    <n v="9357549"/>
    <s v="SND12"/>
    <x v="11"/>
    <x v="5"/>
    <x v="0"/>
    <x v="1"/>
    <x v="0"/>
  </r>
  <r>
    <n v="1844086"/>
    <s v="Gilang Rahayu"/>
    <n v="53"/>
    <x v="0"/>
    <d v="2021-05-24T00:00:00"/>
    <n v="721218"/>
    <d v="2021-06-03T00:00:00"/>
    <n v="712"/>
    <n v="92445559"/>
    <n v="72322417"/>
    <s v="SND12"/>
    <x v="11"/>
    <x v="5"/>
    <x v="2"/>
    <x v="1"/>
    <x v="1"/>
  </r>
  <r>
    <n v="8367667"/>
    <s v="Hadi Kurniawan"/>
    <n v="63"/>
    <x v="0"/>
    <d v="2023-09-21T00:00:00"/>
    <n v="549381"/>
    <d v="2023-10-01T00:00:00"/>
    <n v="808"/>
    <n v="83381153"/>
    <n v="66089571"/>
    <s v="SND12"/>
    <x v="11"/>
    <x v="3"/>
    <x v="2"/>
    <x v="3"/>
    <x v="1"/>
  </r>
  <r>
    <n v="4871181"/>
    <s v="Johan Nugroho"/>
    <n v="19"/>
    <x v="1"/>
    <d v="2023-09-08T00:00:00"/>
    <n v="722642"/>
    <d v="2023-09-18T00:00:00"/>
    <n v="413"/>
    <n v="60919285"/>
    <n v="89547268"/>
    <s v="SND12"/>
    <x v="11"/>
    <x v="4"/>
    <x v="2"/>
    <x v="2"/>
    <x v="1"/>
  </r>
  <r>
    <n v="7207670"/>
    <s v="Hadi Wijaya"/>
    <n v="59"/>
    <x v="1"/>
    <d v="2023-07-13T00:00:00"/>
    <n v="489609"/>
    <d v="2023-07-23T00:00:00"/>
    <n v="712"/>
    <n v="59069653"/>
    <n v="79142627"/>
    <s v="SND12"/>
    <x v="11"/>
    <x v="5"/>
    <x v="2"/>
    <x v="3"/>
    <x v="1"/>
  </r>
  <r>
    <n v="6693300"/>
    <s v="Erna Syahputra"/>
    <n v="48"/>
    <x v="1"/>
    <d v="2025-06-09T00:00:00"/>
    <n v="276365"/>
    <d v="2025-06-19T00:00:00"/>
    <n v="808"/>
    <n v="72676638"/>
    <n v="83907733"/>
    <s v="SND01"/>
    <x v="0"/>
    <x v="3"/>
    <x v="2"/>
    <x v="1"/>
    <x v="1"/>
  </r>
  <r>
    <n v="8726080"/>
    <s v="Gilang Handoko"/>
    <n v="17"/>
    <x v="1"/>
    <d v="2022-07-31T00:00:00"/>
    <n v="631995"/>
    <d v="2022-08-10T00:00:00"/>
    <n v="413"/>
    <n v="50944921"/>
    <n v="79879594"/>
    <s v="SND01"/>
    <x v="0"/>
    <x v="4"/>
    <x v="2"/>
    <x v="2"/>
    <x v="1"/>
  </r>
  <r>
    <n v="8834464"/>
    <s v="Citra Ramadhan"/>
    <n v="60"/>
    <x v="0"/>
    <d v="2020-12-03T00:00:00"/>
    <n v="291715"/>
    <d v="2020-12-13T00:00:00"/>
    <n v="712"/>
    <n v="84920427"/>
    <n v="63233452"/>
    <s v="SND01"/>
    <x v="0"/>
    <x v="5"/>
    <x v="2"/>
    <x v="3"/>
    <x v="1"/>
  </r>
  <r>
    <n v="6653355"/>
    <s v="Eka Kurniawan"/>
    <n v="60"/>
    <x v="0"/>
    <d v="2023-06-04T00:00:00"/>
    <n v="751966"/>
    <d v="2023-06-14T00:00:00"/>
    <n v="808"/>
    <n v="59021708"/>
    <n v="84813504"/>
    <s v="SND01"/>
    <x v="0"/>
    <x v="3"/>
    <x v="2"/>
    <x v="3"/>
    <x v="1"/>
  </r>
  <r>
    <n v="4985295"/>
    <s v="Hadi Saputra"/>
    <n v="16"/>
    <x v="1"/>
    <d v="2020-03-22T00:00:00"/>
    <n v="540133"/>
    <d v="2020-04-01T00:00:00"/>
    <n v="413"/>
    <n v="78560126"/>
    <n v="63794701"/>
    <s v="SND01"/>
    <x v="0"/>
    <x v="4"/>
    <x v="2"/>
    <x v="2"/>
    <x v="1"/>
  </r>
  <r>
    <n v="5797818"/>
    <s v="Erna Putra"/>
    <n v="26"/>
    <x v="0"/>
    <d v="2024-01-09T00:00:00"/>
    <n v="725048"/>
    <d v="2024-01-19T00:00:00"/>
    <n v="712"/>
    <n v="96810125"/>
    <n v="57079576"/>
    <s v="SND01"/>
    <x v="0"/>
    <x v="5"/>
    <x v="2"/>
    <x v="0"/>
    <x v="1"/>
  </r>
  <r>
    <n v="4908716"/>
    <s v="Yudi Rahayu"/>
    <n v="20"/>
    <x v="1"/>
    <d v="2023-08-03T00:00:00"/>
    <n v="289840"/>
    <d v="2023-08-13T00:00:00"/>
    <n v="621"/>
    <n v="74399887"/>
    <n v="67801482"/>
    <s v="SND01"/>
    <x v="0"/>
    <x v="0"/>
    <x v="2"/>
    <x v="2"/>
    <x v="1"/>
  </r>
  <r>
    <n v="3001920"/>
    <s v="Rina Ramadhan"/>
    <n v="16"/>
    <x v="0"/>
    <d v="2023-06-09T00:00:00"/>
    <n v="234505"/>
    <d v="2023-06-19T00:00:00"/>
    <n v="620"/>
    <n v="66299284"/>
    <n v="64243344"/>
    <s v="SND01"/>
    <x v="0"/>
    <x v="1"/>
    <x v="2"/>
    <x v="2"/>
    <x v="1"/>
  </r>
  <r>
    <n v="8476976"/>
    <s v="Oki Purnama"/>
    <n v="58"/>
    <x v="0"/>
    <d v="2022-12-12T00:00:00"/>
    <n v="492729"/>
    <d v="2022-12-22T00:00:00"/>
    <n v="521"/>
    <n v="97731020"/>
    <n v="55507301"/>
    <s v="SND01"/>
    <x v="0"/>
    <x v="2"/>
    <x v="2"/>
    <x v="3"/>
    <x v="1"/>
  </r>
  <r>
    <n v="2200915"/>
    <s v="Wulan Syahputra"/>
    <n v="53"/>
    <x v="1"/>
    <d v="2020-02-27T00:00:00"/>
    <n v="857126"/>
    <d v="2020-03-08T00:00:00"/>
    <n v="808"/>
    <n v="56871376"/>
    <n v="95002187"/>
    <s v="SND01"/>
    <x v="0"/>
    <x v="3"/>
    <x v="2"/>
    <x v="1"/>
    <x v="1"/>
  </r>
  <r>
    <n v="8163195"/>
    <s v="Johan Sari"/>
    <n v="24"/>
    <x v="0"/>
    <d v="2021-02-17T00:00:00"/>
    <n v="661766"/>
    <d v="2021-02-27T00:00:00"/>
    <n v="413"/>
    <n v="67245020"/>
    <n v="87828369"/>
    <s v="SND01"/>
    <x v="0"/>
    <x v="4"/>
    <x v="2"/>
    <x v="2"/>
    <x v="1"/>
  </r>
  <r>
    <n v="6714157"/>
    <s v="Maya Handoko"/>
    <n v="50"/>
    <x v="1"/>
    <d v="2021-05-17T00:00:00"/>
    <n v="708265"/>
    <d v="2021-05-27T00:00:00"/>
    <n v="712"/>
    <n v="89632824"/>
    <n v="72095082"/>
    <s v="SND01"/>
    <x v="0"/>
    <x v="5"/>
    <x v="2"/>
    <x v="1"/>
    <x v="1"/>
  </r>
  <r>
    <n v="3989170"/>
    <s v="Citra Putra"/>
    <n v="48"/>
    <x v="0"/>
    <d v="2024-01-07T00:00:00"/>
    <n v="529844"/>
    <d v="2024-01-17T00:00:00"/>
    <n v="621"/>
    <n v="58073234"/>
    <n v="50510168"/>
    <s v="SND01"/>
    <x v="0"/>
    <x v="0"/>
    <x v="2"/>
    <x v="1"/>
    <x v="1"/>
  </r>
  <r>
    <n v="7119949"/>
    <s v="Erna Lestari"/>
    <n v="15"/>
    <x v="0"/>
    <d v="2020-11-09T00:00:00"/>
    <n v="837637"/>
    <d v="2020-11-19T00:00:00"/>
    <n v="620"/>
    <n v="85236303"/>
    <n v="80285402"/>
    <s v="SND01"/>
    <x v="0"/>
    <x v="1"/>
    <x v="2"/>
    <x v="2"/>
    <x v="1"/>
  </r>
  <r>
    <n v="1662297"/>
    <s v="Lina Hidayat"/>
    <n v="23"/>
    <x v="0"/>
    <d v="2023-11-04T00:00:00"/>
    <n v="881580"/>
    <d v="2023-11-14T00:00:00"/>
    <n v="521"/>
    <n v="81061561"/>
    <n v="76107320"/>
    <s v="SND02"/>
    <x v="1"/>
    <x v="2"/>
    <x v="2"/>
    <x v="2"/>
    <x v="1"/>
  </r>
  <r>
    <n v="1173603"/>
    <s v="Erna Susanto"/>
    <n v="30"/>
    <x v="0"/>
    <d v="2025-08-09T00:00:00"/>
    <n v="614331"/>
    <d v="2025-08-19T00:00:00"/>
    <n v="808"/>
    <n v="96772327"/>
    <n v="77560381"/>
    <s v="SND02"/>
    <x v="1"/>
    <x v="3"/>
    <x v="2"/>
    <x v="0"/>
    <x v="1"/>
  </r>
  <r>
    <n v="5267253"/>
    <s v="Dian Nugroho"/>
    <n v="57"/>
    <x v="1"/>
    <d v="2021-12-15T00:00:00"/>
    <n v="600005"/>
    <d v="2021-12-25T00:00:00"/>
    <n v="413"/>
    <n v="59469562"/>
    <n v="74906911"/>
    <s v="SND02"/>
    <x v="1"/>
    <x v="4"/>
    <x v="2"/>
    <x v="3"/>
    <x v="1"/>
  </r>
  <r>
    <n v="2654440"/>
    <s v="Indah Halim"/>
    <n v="24"/>
    <x v="1"/>
    <d v="2021-05-06T00:00:00"/>
    <n v="653981"/>
    <d v="2021-05-16T00:00:00"/>
    <n v="712"/>
    <n v="51068607"/>
    <n v="59842838"/>
    <s v="SND02"/>
    <x v="1"/>
    <x v="5"/>
    <x v="2"/>
    <x v="2"/>
    <x v="1"/>
  </r>
  <r>
    <n v="1813196"/>
    <s v="Indah Siregar"/>
    <n v="56"/>
    <x v="0"/>
    <d v="2021-10-31T00:00:00"/>
    <n v="557397"/>
    <d v="2021-11-10T00:00:00"/>
    <n v="621"/>
    <n v="75836407"/>
    <n v="69305896"/>
    <s v="SND02"/>
    <x v="1"/>
    <x v="0"/>
    <x v="2"/>
    <x v="3"/>
    <x v="1"/>
  </r>
  <r>
    <n v="8239097"/>
    <s v="Zahra Saputri"/>
    <n v="42"/>
    <x v="1"/>
    <d v="2023-01-19T00:00:00"/>
    <n v="388879"/>
    <d v="2023-01-29T00:00:00"/>
    <n v="620"/>
    <n v="80858468"/>
    <n v="75400219"/>
    <s v="SND02"/>
    <x v="1"/>
    <x v="1"/>
    <x v="2"/>
    <x v="1"/>
    <x v="1"/>
  </r>
  <r>
    <n v="7262729"/>
    <s v="Oki Kurniawan"/>
    <n v="27"/>
    <x v="0"/>
    <d v="2023-11-16T00:00:00"/>
    <n v="389922"/>
    <d v="2023-11-26T00:00:00"/>
    <n v="521"/>
    <n v="93736628"/>
    <n v="81459932"/>
    <s v="SND02"/>
    <x v="1"/>
    <x v="2"/>
    <x v="2"/>
    <x v="0"/>
    <x v="1"/>
  </r>
  <r>
    <n v="6622851"/>
    <s v="Johan Hidayat"/>
    <n v="33"/>
    <x v="0"/>
    <d v="2025-05-09T00:00:00"/>
    <n v="363971"/>
    <d v="2025-05-19T00:00:00"/>
    <n v="808"/>
    <n v="68609164"/>
    <n v="79167284"/>
    <s v="SND01"/>
    <x v="0"/>
    <x v="3"/>
    <x v="2"/>
    <x v="0"/>
    <x v="1"/>
  </r>
  <r>
    <n v="6854483"/>
    <s v="Fajar Setiawan"/>
    <n v="51"/>
    <x v="1"/>
    <d v="2021-10-04T00:00:00"/>
    <n v="820793"/>
    <d v="2021-10-14T00:00:00"/>
    <n v="413"/>
    <n v="59178380"/>
    <n v="82309255"/>
    <s v="SND02"/>
    <x v="1"/>
    <x v="4"/>
    <x v="2"/>
    <x v="1"/>
    <x v="1"/>
  </r>
  <r>
    <n v="6762655"/>
    <s v="Zahra Sari"/>
    <n v="18"/>
    <x v="1"/>
    <d v="2022-04-08T00:00:00"/>
    <n v="381752"/>
    <d v="2022-04-18T00:00:00"/>
    <n v="712"/>
    <n v="53098711"/>
    <n v="68598271"/>
    <s v="SND03"/>
    <x v="2"/>
    <x v="5"/>
    <x v="2"/>
    <x v="2"/>
    <x v="1"/>
  </r>
  <r>
    <n v="7046122"/>
    <s v="Fitri Lestari"/>
    <n v="44"/>
    <x v="1"/>
    <d v="2020-04-12T00:00:00"/>
    <n v="404794"/>
    <d v="2020-04-22T00:00:00"/>
    <n v="621"/>
    <n v="81536259"/>
    <n v="71476429"/>
    <s v="SND04"/>
    <x v="3"/>
    <x v="0"/>
    <x v="2"/>
    <x v="1"/>
    <x v="1"/>
  </r>
  <r>
    <n v="3796518"/>
    <s v="Johan Handoko"/>
    <n v="58"/>
    <x v="1"/>
    <d v="2025-01-01T00:00:00"/>
    <n v="851145"/>
    <d v="2025-01-11T00:00:00"/>
    <n v="620"/>
    <n v="95550495"/>
    <n v="55717197"/>
    <s v="SND05"/>
    <x v="4"/>
    <x v="1"/>
    <x v="2"/>
    <x v="3"/>
    <x v="1"/>
  </r>
  <r>
    <n v="6174669"/>
    <s v="Oki Setiawan"/>
    <n v="24"/>
    <x v="1"/>
    <d v="2022-06-14T00:00:00"/>
    <n v="399229"/>
    <d v="2022-06-24T00:00:00"/>
    <n v="521"/>
    <n v="98558122"/>
    <n v="97437223"/>
    <s v="SND06"/>
    <x v="5"/>
    <x v="2"/>
    <x v="2"/>
    <x v="2"/>
    <x v="1"/>
  </r>
  <r>
    <n v="6102743"/>
    <s v="Zahra Wibowo"/>
    <n v="38"/>
    <x v="0"/>
    <d v="2024-02-08T00:00:00"/>
    <n v="471812"/>
    <d v="2024-02-18T00:00:00"/>
    <n v="808"/>
    <n v="95853457"/>
    <n v="59422957"/>
    <s v="SND07"/>
    <x v="6"/>
    <x v="3"/>
    <x v="2"/>
    <x v="1"/>
    <x v="1"/>
  </r>
  <r>
    <n v="1285551"/>
    <s v="Gilang Wibowo"/>
    <n v="49"/>
    <x v="1"/>
    <d v="2020-06-16T00:00:00"/>
    <n v="527640"/>
    <d v="2020-06-26T00:00:00"/>
    <n v="413"/>
    <n v="50951439"/>
    <n v="64389159"/>
    <s v="SND08"/>
    <x v="7"/>
    <x v="4"/>
    <x v="2"/>
    <x v="1"/>
    <x v="1"/>
  </r>
  <r>
    <n v="3891330"/>
    <s v="Yudi Hidayat"/>
    <n v="41"/>
    <x v="0"/>
    <d v="2021-03-24T00:00:00"/>
    <n v="662376"/>
    <d v="2021-04-03T00:00:00"/>
    <n v="712"/>
    <n v="82154934"/>
    <n v="80921959"/>
    <s v="SND09"/>
    <x v="8"/>
    <x v="5"/>
    <x v="2"/>
    <x v="1"/>
    <x v="1"/>
  </r>
  <r>
    <n v="2488189"/>
    <s v="Putri Wijaya"/>
    <n v="40"/>
    <x v="0"/>
    <d v="2022-03-15T00:00:00"/>
    <n v="393515"/>
    <d v="2022-03-25T00:00:00"/>
    <n v="620"/>
    <n v="89217015"/>
    <n v="93375815"/>
    <s v="SND10"/>
    <x v="9"/>
    <x v="1"/>
    <x v="2"/>
    <x v="1"/>
    <x v="1"/>
  </r>
  <r>
    <n v="1611608"/>
    <s v="Maya Putra"/>
    <n v="16"/>
    <x v="1"/>
    <d v="2025-07-17T00:00:00"/>
    <n v="500089"/>
    <d v="2025-07-27T00:00:00"/>
    <n v="620"/>
    <n v="53104546"/>
    <n v="78072818"/>
    <s v="SND11"/>
    <x v="10"/>
    <x v="1"/>
    <x v="2"/>
    <x v="2"/>
    <x v="1"/>
  </r>
  <r>
    <n v="3799751"/>
    <s v="Joko Lestari"/>
    <n v="49"/>
    <x v="1"/>
    <d v="2020-05-18T00:00:00"/>
    <n v="498185"/>
    <d v="2020-05-28T00:00:00"/>
    <n v="620"/>
    <n v="56936745"/>
    <n v="61156110"/>
    <s v="SND12"/>
    <x v="11"/>
    <x v="1"/>
    <x v="2"/>
    <x v="1"/>
    <x v="1"/>
  </r>
  <r>
    <n v="3246664"/>
    <s v="Yudi Kurniawan"/>
    <n v="49"/>
    <x v="0"/>
    <d v="2021-10-13T00:00:00"/>
    <n v="800651"/>
    <d v="2021-10-23T00:00:00"/>
    <n v="620"/>
    <n v="63392176"/>
    <n v="86264970"/>
    <s v="SND03"/>
    <x v="2"/>
    <x v="1"/>
    <x v="2"/>
    <x v="1"/>
    <x v="1"/>
  </r>
  <r>
    <n v="5819531"/>
    <s v="Johan Putra"/>
    <n v="17"/>
    <x v="1"/>
    <d v="2024-06-13T00:00:00"/>
    <n v="539454"/>
    <d v="2024-06-23T00:00:00"/>
    <n v="620"/>
    <n v="98556919"/>
    <n v="82408944"/>
    <s v="SND04"/>
    <x v="3"/>
    <x v="1"/>
    <x v="2"/>
    <x v="2"/>
    <x v="1"/>
  </r>
  <r>
    <n v="2287021"/>
    <s v="Budi Kusuma"/>
    <n v="35"/>
    <x v="0"/>
    <d v="2021-05-21T00:00:00"/>
    <n v="445036"/>
    <d v="2021-05-31T00:00:00"/>
    <n v="621"/>
    <n v="2348116"/>
    <n v="8955367"/>
    <s v="SND01"/>
    <x v="0"/>
    <x v="0"/>
    <x v="0"/>
    <x v="0"/>
    <x v="0"/>
  </r>
  <r>
    <n v="3684345"/>
    <s v="Wulan Wibowo"/>
    <n v="29"/>
    <x v="1"/>
    <d v="2025-05-05T00:00:00"/>
    <n v="690376"/>
    <d v="2025-05-15T00:00:00"/>
    <n v="620"/>
    <n v="4632122"/>
    <n v="6250736"/>
    <s v="SND02"/>
    <x v="1"/>
    <x v="1"/>
    <x v="0"/>
    <x v="0"/>
    <x v="0"/>
  </r>
  <r>
    <n v="6507231"/>
    <s v="Yudi Santoso"/>
    <n v="37"/>
    <x v="0"/>
    <d v="2022-07-19T00:00:00"/>
    <n v="726795"/>
    <d v="2022-07-29T00:00:00"/>
    <n v="521"/>
    <n v="4676007"/>
    <n v="6844373"/>
    <s v="SND03"/>
    <x v="2"/>
    <x v="2"/>
    <x v="0"/>
    <x v="1"/>
    <x v="0"/>
  </r>
  <r>
    <n v="2306909"/>
    <s v="Hendra Permana"/>
    <n v="25"/>
    <x v="0"/>
    <d v="2024-12-17T00:00:00"/>
    <n v="471359"/>
    <d v="2024-12-27T00:00:00"/>
    <n v="808"/>
    <n v="5717876"/>
    <n v="8325624"/>
    <s v="SND04"/>
    <x v="3"/>
    <x v="3"/>
    <x v="0"/>
    <x v="2"/>
    <x v="0"/>
  </r>
  <r>
    <n v="6713678"/>
    <s v="Rina Rahayu"/>
    <n v="29"/>
    <x v="0"/>
    <d v="2022-03-11T00:00:00"/>
    <n v="222391"/>
    <d v="2022-03-21T00:00:00"/>
    <n v="413"/>
    <n v="2158895"/>
    <n v="8347943"/>
    <s v="SND05"/>
    <x v="4"/>
    <x v="4"/>
    <x v="0"/>
    <x v="0"/>
    <x v="0"/>
  </r>
  <r>
    <n v="3477250"/>
    <s v="Lina Wibowo"/>
    <n v="45"/>
    <x v="0"/>
    <d v="2023-03-07T00:00:00"/>
    <n v="784959"/>
    <d v="2023-03-17T00:00:00"/>
    <n v="712"/>
    <n v="2203171"/>
    <n v="5618396"/>
    <s v="SND06"/>
    <x v="5"/>
    <x v="5"/>
    <x v="0"/>
    <x v="1"/>
    <x v="0"/>
  </r>
  <r>
    <n v="2446706"/>
    <s v="Joko Sari"/>
    <n v="55"/>
    <x v="0"/>
    <d v="2020-12-31T00:00:00"/>
    <n v="670347"/>
    <d v="2021-01-10T00:00:00"/>
    <n v="621"/>
    <n v="3722178"/>
    <n v="6563564"/>
    <s v="SND07"/>
    <x v="6"/>
    <x v="0"/>
    <x v="0"/>
    <x v="1"/>
    <x v="0"/>
  </r>
  <r>
    <n v="8882904"/>
    <s v="Hadi Saputri"/>
    <n v="20"/>
    <x v="0"/>
    <d v="2021-12-24T00:00:00"/>
    <n v="992697"/>
    <d v="2022-01-03T00:00:00"/>
    <n v="620"/>
    <n v="2173515"/>
    <n v="5182322"/>
    <s v="SND08"/>
    <x v="7"/>
    <x v="1"/>
    <x v="0"/>
    <x v="2"/>
    <x v="0"/>
  </r>
  <r>
    <n v="2985075"/>
    <s v="Kartika Kurniawan"/>
    <n v="64"/>
    <x v="0"/>
    <d v="2023-05-31T00:00:00"/>
    <n v="855807"/>
    <d v="2023-06-10T00:00:00"/>
    <n v="521"/>
    <n v="5867720"/>
    <n v="7688655"/>
    <s v="SND09"/>
    <x v="8"/>
    <x v="2"/>
    <x v="0"/>
    <x v="3"/>
    <x v="0"/>
  </r>
  <r>
    <n v="3365113"/>
    <s v="Indah Ramadhan"/>
    <n v="31"/>
    <x v="0"/>
    <d v="2020-02-13T00:00:00"/>
    <n v="782420"/>
    <d v="2020-02-23T00:00:00"/>
    <n v="808"/>
    <n v="7629989"/>
    <n v="6784112"/>
    <s v="SND10"/>
    <x v="9"/>
    <x v="3"/>
    <x v="0"/>
    <x v="0"/>
    <x v="0"/>
  </r>
  <r>
    <n v="8369052"/>
    <s v="Dewi Nugroho"/>
    <n v="28"/>
    <x v="1"/>
    <d v="2022-11-18T00:00:00"/>
    <n v="800474"/>
    <d v="2022-11-28T00:00:00"/>
    <n v="413"/>
    <n v="18287346"/>
    <n v="20678701"/>
    <s v="SND11"/>
    <x v="10"/>
    <x v="4"/>
    <x v="1"/>
    <x v="0"/>
    <x v="1"/>
  </r>
  <r>
    <n v="2918715"/>
    <s v="Joko Putra"/>
    <n v="47"/>
    <x v="1"/>
    <d v="2023-05-22T00:00:00"/>
    <n v="607697"/>
    <d v="2023-06-01T00:00:00"/>
    <n v="712"/>
    <n v="6355438"/>
    <n v="11137340"/>
    <s v="SND12"/>
    <x v="11"/>
    <x v="5"/>
    <x v="0"/>
    <x v="1"/>
    <x v="0"/>
  </r>
  <r>
    <n v="4849083"/>
    <s v="Eka Wijaya"/>
    <n v="16"/>
    <x v="0"/>
    <d v="2021-08-28T00:00:00"/>
    <n v="695274"/>
    <d v="2021-09-07T00:00:00"/>
    <n v="621"/>
    <n v="9144128"/>
    <n v="23156763"/>
    <s v="SND03"/>
    <x v="2"/>
    <x v="0"/>
    <x v="0"/>
    <x v="2"/>
    <x v="0"/>
  </r>
  <r>
    <n v="5113873"/>
    <s v="Putri Kusuma"/>
    <n v="22"/>
    <x v="0"/>
    <d v="2025-02-12T00:00:00"/>
    <n v="383843"/>
    <d v="2025-02-22T00:00:00"/>
    <n v="620"/>
    <n v="14876013"/>
    <n v="5558765"/>
    <s v="SND04"/>
    <x v="3"/>
    <x v="1"/>
    <x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F0161-35B1-4EF4-BA89-DF93007FBD1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16">
    <pivotField showAll="0"/>
    <pivotField showAll="0" countASubtotal="1"/>
    <pivotField showAll="0"/>
    <pivotField showAll="0">
      <items count="3">
        <item x="1"/>
        <item x="0"/>
        <item t="default"/>
      </items>
    </pivotField>
    <pivotField numFmtId="14" showAll="0"/>
    <pivotField showAll="0"/>
    <pivotField numFmtId="14" showAll="0"/>
    <pivotField showAll="0"/>
    <pivotField numFmtId="164" showAll="0"/>
    <pivotField numFmtId="164" showAll="0"/>
    <pivotField showAll="0"/>
    <pivotField showAll="0">
      <items count="13">
        <item x="8"/>
        <item x="6"/>
        <item x="0"/>
        <item x="2"/>
        <item x="3"/>
        <item x="4"/>
        <item x="9"/>
        <item x="7"/>
        <item x="11"/>
        <item x="10"/>
        <item x="1"/>
        <item x="5"/>
        <item t="default"/>
      </items>
    </pivotField>
    <pivotField showAll="0">
      <items count="7">
        <item x="2"/>
        <item x="0"/>
        <item x="5"/>
        <item x="3"/>
        <item x="4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dataField="1" showAll="0">
      <items count="4">
        <item x="1"/>
        <item x="0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Flag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DAD6-F887-4551-A87D-87C6D51F3CBA}">
  <dimension ref="A1:K135"/>
  <sheetViews>
    <sheetView workbookViewId="0">
      <selection activeCell="H8" sqref="H8"/>
    </sheetView>
  </sheetViews>
  <sheetFormatPr defaultRowHeight="14.5" x14ac:dyDescent="0.35"/>
  <cols>
    <col min="1" max="1" width="10.26953125" customWidth="1"/>
    <col min="2" max="2" width="18.54296875" customWidth="1"/>
    <col min="3" max="3" width="7.08984375" customWidth="1"/>
    <col min="4" max="4" width="15.26953125" customWidth="1"/>
    <col min="5" max="5" width="15.81640625" customWidth="1"/>
    <col min="6" max="6" width="13.54296875" customWidth="1"/>
    <col min="7" max="7" width="17.08984375" customWidth="1"/>
    <col min="8" max="8" width="14.81640625" customWidth="1"/>
    <col min="9" max="9" width="13.81640625" bestFit="1" customWidth="1"/>
    <col min="10" max="10" width="16.453125" customWidth="1"/>
    <col min="11" max="11" width="11.36328125" customWidth="1"/>
  </cols>
  <sheetData>
    <row r="1" spans="1:1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35">
      <c r="A2" s="1">
        <v>2287021</v>
      </c>
      <c r="B2" s="1" t="s">
        <v>11</v>
      </c>
      <c r="C2" s="1">
        <v>35</v>
      </c>
      <c r="D2" s="1" t="s">
        <v>12</v>
      </c>
      <c r="E2" s="8">
        <v>44337</v>
      </c>
      <c r="F2" s="1">
        <v>445036</v>
      </c>
      <c r="G2" s="8">
        <v>44347</v>
      </c>
      <c r="H2" s="1">
        <v>621</v>
      </c>
      <c r="I2" s="9">
        <v>2348116</v>
      </c>
      <c r="J2" s="9">
        <v>8955367</v>
      </c>
      <c r="K2" s="1" t="s">
        <v>13</v>
      </c>
    </row>
    <row r="3" spans="1:11" x14ac:dyDescent="0.35">
      <c r="A3" s="1">
        <v>3684345</v>
      </c>
      <c r="B3" s="1" t="s">
        <v>14</v>
      </c>
      <c r="C3" s="1">
        <v>29</v>
      </c>
      <c r="D3" s="1" t="s">
        <v>15</v>
      </c>
      <c r="E3" s="8">
        <v>45782</v>
      </c>
      <c r="F3" s="1">
        <v>690376</v>
      </c>
      <c r="G3" s="8">
        <v>45792</v>
      </c>
      <c r="H3" s="1">
        <v>620</v>
      </c>
      <c r="I3" s="9">
        <v>4632122</v>
      </c>
      <c r="J3" s="9">
        <v>6250736</v>
      </c>
      <c r="K3" s="1" t="s">
        <v>16</v>
      </c>
    </row>
    <row r="4" spans="1:11" x14ac:dyDescent="0.35">
      <c r="A4" s="1">
        <v>6507231</v>
      </c>
      <c r="B4" s="1" t="s">
        <v>17</v>
      </c>
      <c r="C4" s="1">
        <v>37</v>
      </c>
      <c r="D4" s="1" t="s">
        <v>12</v>
      </c>
      <c r="E4" s="8">
        <v>44761</v>
      </c>
      <c r="F4" s="1">
        <v>726795</v>
      </c>
      <c r="G4" s="8">
        <v>44771</v>
      </c>
      <c r="H4" s="1">
        <v>521</v>
      </c>
      <c r="I4" s="9">
        <v>4676007</v>
      </c>
      <c r="J4" s="9">
        <v>6844373</v>
      </c>
      <c r="K4" s="1" t="s">
        <v>18</v>
      </c>
    </row>
    <row r="5" spans="1:11" x14ac:dyDescent="0.35">
      <c r="A5" s="1">
        <v>2306909</v>
      </c>
      <c r="B5" s="1" t="s">
        <v>19</v>
      </c>
      <c r="C5" s="1">
        <v>25</v>
      </c>
      <c r="D5" s="1" t="s">
        <v>12</v>
      </c>
      <c r="E5" s="8">
        <v>45643</v>
      </c>
      <c r="F5" s="1">
        <v>471359</v>
      </c>
      <c r="G5" s="8">
        <v>45653</v>
      </c>
      <c r="H5" s="1">
        <v>808</v>
      </c>
      <c r="I5" s="9">
        <v>5717876</v>
      </c>
      <c r="J5" s="9">
        <v>8325624</v>
      </c>
      <c r="K5" s="1" t="s">
        <v>20</v>
      </c>
    </row>
    <row r="6" spans="1:11" x14ac:dyDescent="0.35">
      <c r="A6" s="1">
        <v>6713678</v>
      </c>
      <c r="B6" s="1" t="s">
        <v>21</v>
      </c>
      <c r="C6" s="1">
        <v>29</v>
      </c>
      <c r="D6" s="1" t="s">
        <v>12</v>
      </c>
      <c r="E6" s="8">
        <v>44631</v>
      </c>
      <c r="F6" s="1">
        <v>222391</v>
      </c>
      <c r="G6" s="8">
        <v>44641</v>
      </c>
      <c r="H6" s="1">
        <v>413</v>
      </c>
      <c r="I6" s="9">
        <v>2158895</v>
      </c>
      <c r="J6" s="9">
        <v>8347943</v>
      </c>
      <c r="K6" s="1" t="s">
        <v>22</v>
      </c>
    </row>
    <row r="7" spans="1:11" x14ac:dyDescent="0.35">
      <c r="A7" s="1">
        <v>3477250</v>
      </c>
      <c r="B7" s="1" t="s">
        <v>23</v>
      </c>
      <c r="C7" s="1">
        <v>45</v>
      </c>
      <c r="D7" s="1" t="s">
        <v>12</v>
      </c>
      <c r="E7" s="8">
        <v>44992</v>
      </c>
      <c r="F7" s="1">
        <v>784959</v>
      </c>
      <c r="G7" s="8">
        <v>45002</v>
      </c>
      <c r="H7" s="1">
        <v>712</v>
      </c>
      <c r="I7" s="9">
        <v>2203171</v>
      </c>
      <c r="J7" s="9">
        <v>5618396</v>
      </c>
      <c r="K7" s="1" t="s">
        <v>24</v>
      </c>
    </row>
    <row r="8" spans="1:11" x14ac:dyDescent="0.35">
      <c r="A8" s="1">
        <v>2446706</v>
      </c>
      <c r="B8" s="1" t="s">
        <v>25</v>
      </c>
      <c r="C8" s="1">
        <v>55</v>
      </c>
      <c r="D8" s="1" t="s">
        <v>12</v>
      </c>
      <c r="E8" s="8">
        <v>44196</v>
      </c>
      <c r="F8" s="1">
        <v>670347</v>
      </c>
      <c r="G8" s="8">
        <v>44206</v>
      </c>
      <c r="H8" s="1">
        <v>621</v>
      </c>
      <c r="I8" s="9">
        <v>3722178</v>
      </c>
      <c r="J8" s="9">
        <v>6563564</v>
      </c>
      <c r="K8" s="1" t="s">
        <v>26</v>
      </c>
    </row>
    <row r="9" spans="1:11" x14ac:dyDescent="0.35">
      <c r="A9" s="1">
        <v>8882904</v>
      </c>
      <c r="B9" s="1" t="s">
        <v>27</v>
      </c>
      <c r="C9" s="1">
        <v>20</v>
      </c>
      <c r="D9" s="1" t="s">
        <v>12</v>
      </c>
      <c r="E9" s="8">
        <v>44554</v>
      </c>
      <c r="F9" s="1">
        <v>992697</v>
      </c>
      <c r="G9" s="8">
        <v>44564</v>
      </c>
      <c r="H9" s="1">
        <v>620</v>
      </c>
      <c r="I9" s="9">
        <v>2173515</v>
      </c>
      <c r="J9" s="9">
        <v>5182322</v>
      </c>
      <c r="K9" s="1" t="s">
        <v>28</v>
      </c>
    </row>
    <row r="10" spans="1:11" x14ac:dyDescent="0.35">
      <c r="A10" s="1">
        <v>2985075</v>
      </c>
      <c r="B10" s="1" t="s">
        <v>29</v>
      </c>
      <c r="C10" s="1">
        <v>64</v>
      </c>
      <c r="D10" s="1" t="s">
        <v>12</v>
      </c>
      <c r="E10" s="8">
        <v>45077</v>
      </c>
      <c r="F10" s="1">
        <v>855807</v>
      </c>
      <c r="G10" s="8">
        <v>45087</v>
      </c>
      <c r="H10" s="1">
        <v>521</v>
      </c>
      <c r="I10" s="9">
        <v>5867720</v>
      </c>
      <c r="J10" s="9">
        <v>7688655</v>
      </c>
      <c r="K10" s="1" t="s">
        <v>30</v>
      </c>
    </row>
    <row r="11" spans="1:11" x14ac:dyDescent="0.35">
      <c r="A11" s="1">
        <v>3365113</v>
      </c>
      <c r="B11" s="1" t="s">
        <v>31</v>
      </c>
      <c r="C11" s="1">
        <v>31</v>
      </c>
      <c r="D11" s="1" t="s">
        <v>12</v>
      </c>
      <c r="E11" s="8">
        <v>43874</v>
      </c>
      <c r="F11" s="1">
        <v>782420</v>
      </c>
      <c r="G11" s="8">
        <v>43884</v>
      </c>
      <c r="H11" s="1">
        <v>808</v>
      </c>
      <c r="I11" s="9">
        <v>7629989</v>
      </c>
      <c r="J11" s="9">
        <v>6784112</v>
      </c>
      <c r="K11" s="1" t="s">
        <v>32</v>
      </c>
    </row>
    <row r="12" spans="1:11" x14ac:dyDescent="0.35">
      <c r="A12" s="1">
        <v>8369052</v>
      </c>
      <c r="B12" s="1" t="s">
        <v>33</v>
      </c>
      <c r="C12" s="1">
        <v>28</v>
      </c>
      <c r="D12" s="1" t="s">
        <v>15</v>
      </c>
      <c r="E12" s="8">
        <v>44883</v>
      </c>
      <c r="F12" s="1">
        <v>800474</v>
      </c>
      <c r="G12" s="8">
        <v>44893</v>
      </c>
      <c r="H12" s="1">
        <v>413</v>
      </c>
      <c r="I12" s="9">
        <v>18287346</v>
      </c>
      <c r="J12" s="9">
        <v>20678701</v>
      </c>
      <c r="K12" s="1" t="s">
        <v>34</v>
      </c>
    </row>
    <row r="13" spans="1:11" x14ac:dyDescent="0.35">
      <c r="A13" s="1">
        <v>2918715</v>
      </c>
      <c r="B13" s="1" t="s">
        <v>35</v>
      </c>
      <c r="C13" s="1">
        <v>47</v>
      </c>
      <c r="D13" s="1" t="s">
        <v>15</v>
      </c>
      <c r="E13" s="8">
        <v>45068</v>
      </c>
      <c r="F13" s="1">
        <v>607697</v>
      </c>
      <c r="G13" s="8">
        <v>45078</v>
      </c>
      <c r="H13" s="1">
        <v>712</v>
      </c>
      <c r="I13" s="9">
        <v>6355438</v>
      </c>
      <c r="J13" s="9">
        <v>11137340</v>
      </c>
      <c r="K13" s="1" t="s">
        <v>36</v>
      </c>
    </row>
    <row r="14" spans="1:11" x14ac:dyDescent="0.35">
      <c r="A14" s="1">
        <v>4849083</v>
      </c>
      <c r="B14" s="1" t="s">
        <v>37</v>
      </c>
      <c r="C14" s="1">
        <v>16</v>
      </c>
      <c r="D14" s="1" t="s">
        <v>12</v>
      </c>
      <c r="E14" s="8">
        <v>44436</v>
      </c>
      <c r="F14" s="1">
        <v>695274</v>
      </c>
      <c r="G14" s="8">
        <v>44446</v>
      </c>
      <c r="H14" s="1">
        <v>621</v>
      </c>
      <c r="I14" s="9">
        <v>9144128</v>
      </c>
      <c r="J14" s="9">
        <v>23156763</v>
      </c>
      <c r="K14" s="1" t="s">
        <v>18</v>
      </c>
    </row>
    <row r="15" spans="1:11" x14ac:dyDescent="0.35">
      <c r="A15" s="1">
        <v>5113873</v>
      </c>
      <c r="B15" s="1" t="s">
        <v>38</v>
      </c>
      <c r="C15" s="1">
        <v>22</v>
      </c>
      <c r="D15" s="1" t="s">
        <v>12</v>
      </c>
      <c r="E15" s="8">
        <v>45700</v>
      </c>
      <c r="F15" s="1">
        <v>383843</v>
      </c>
      <c r="G15" s="8">
        <v>45710</v>
      </c>
      <c r="H15" s="1">
        <v>620</v>
      </c>
      <c r="I15" s="9">
        <v>14876013</v>
      </c>
      <c r="J15" s="9">
        <v>5558765</v>
      </c>
      <c r="K15" s="1" t="s">
        <v>20</v>
      </c>
    </row>
    <row r="16" spans="1:11" x14ac:dyDescent="0.35">
      <c r="A16" s="1">
        <v>5881429</v>
      </c>
      <c r="B16" s="1" t="s">
        <v>39</v>
      </c>
      <c r="C16" s="1">
        <v>62</v>
      </c>
      <c r="D16" s="1" t="s">
        <v>12</v>
      </c>
      <c r="E16" s="8">
        <v>43992</v>
      </c>
      <c r="F16" s="1">
        <v>970687</v>
      </c>
      <c r="G16" s="8">
        <v>44002</v>
      </c>
      <c r="H16" s="1">
        <v>521</v>
      </c>
      <c r="I16" s="9">
        <v>17183899</v>
      </c>
      <c r="J16" s="9">
        <v>24492905</v>
      </c>
      <c r="K16" s="1" t="s">
        <v>22</v>
      </c>
    </row>
    <row r="17" spans="1:11" x14ac:dyDescent="0.35">
      <c r="A17" s="1">
        <v>8573274</v>
      </c>
      <c r="B17" s="1" t="s">
        <v>40</v>
      </c>
      <c r="C17" s="1">
        <v>57</v>
      </c>
      <c r="D17" s="1" t="s">
        <v>12</v>
      </c>
      <c r="E17" s="8">
        <v>45255</v>
      </c>
      <c r="F17" s="1">
        <v>819522</v>
      </c>
      <c r="G17" s="8">
        <v>45265</v>
      </c>
      <c r="H17" s="1">
        <v>808</v>
      </c>
      <c r="I17" s="9">
        <v>14642960</v>
      </c>
      <c r="J17" s="9">
        <v>28520880</v>
      </c>
      <c r="K17" s="1" t="s">
        <v>24</v>
      </c>
    </row>
    <row r="18" spans="1:11" x14ac:dyDescent="0.35">
      <c r="A18" s="1">
        <v>6265976</v>
      </c>
      <c r="B18" s="1" t="s">
        <v>41</v>
      </c>
      <c r="C18" s="1">
        <v>21</v>
      </c>
      <c r="D18" s="1" t="s">
        <v>12</v>
      </c>
      <c r="E18" s="8">
        <v>43874</v>
      </c>
      <c r="F18" s="1">
        <v>408181</v>
      </c>
      <c r="G18" s="8">
        <v>43884</v>
      </c>
      <c r="H18" s="1">
        <v>413</v>
      </c>
      <c r="I18" s="9">
        <v>13499694</v>
      </c>
      <c r="J18" s="9">
        <v>18546605</v>
      </c>
      <c r="K18" s="1" t="s">
        <v>13</v>
      </c>
    </row>
    <row r="19" spans="1:11" x14ac:dyDescent="0.35">
      <c r="A19" s="1">
        <v>2288253</v>
      </c>
      <c r="B19" s="1" t="s">
        <v>42</v>
      </c>
      <c r="C19" s="1">
        <v>30</v>
      </c>
      <c r="D19" s="1" t="s">
        <v>12</v>
      </c>
      <c r="E19" s="8">
        <v>44317</v>
      </c>
      <c r="F19" s="1">
        <v>559401</v>
      </c>
      <c r="G19" s="8">
        <v>44327</v>
      </c>
      <c r="H19" s="1">
        <v>712</v>
      </c>
      <c r="I19" s="9">
        <v>18915499</v>
      </c>
      <c r="J19" s="9">
        <v>11478093</v>
      </c>
      <c r="K19" s="1" t="s">
        <v>16</v>
      </c>
    </row>
    <row r="20" spans="1:11" x14ac:dyDescent="0.35">
      <c r="A20" s="1">
        <v>8078818</v>
      </c>
      <c r="B20" s="1" t="s">
        <v>43</v>
      </c>
      <c r="C20" s="1">
        <v>58</v>
      </c>
      <c r="D20" s="1" t="s">
        <v>15</v>
      </c>
      <c r="E20" s="8">
        <v>44924</v>
      </c>
      <c r="F20" s="1">
        <v>740849</v>
      </c>
      <c r="G20" s="8">
        <v>44934</v>
      </c>
      <c r="H20" s="1">
        <v>621</v>
      </c>
      <c r="I20" s="9">
        <v>13447101</v>
      </c>
      <c r="J20" s="9">
        <v>29853111</v>
      </c>
      <c r="K20" s="1" t="s">
        <v>18</v>
      </c>
    </row>
    <row r="21" spans="1:11" x14ac:dyDescent="0.35">
      <c r="A21" s="1">
        <v>6068619</v>
      </c>
      <c r="B21" s="1" t="s">
        <v>44</v>
      </c>
      <c r="C21" s="1">
        <v>62</v>
      </c>
      <c r="D21" s="1" t="s">
        <v>15</v>
      </c>
      <c r="E21" s="8">
        <v>45378</v>
      </c>
      <c r="F21" s="1">
        <v>464201</v>
      </c>
      <c r="G21" s="8">
        <v>45388</v>
      </c>
      <c r="H21" s="1">
        <v>620</v>
      </c>
      <c r="I21" s="9">
        <v>15451751</v>
      </c>
      <c r="J21" s="9">
        <v>21605243</v>
      </c>
      <c r="K21" s="1" t="s">
        <v>20</v>
      </c>
    </row>
    <row r="22" spans="1:11" x14ac:dyDescent="0.35">
      <c r="A22" s="1">
        <v>2805431</v>
      </c>
      <c r="B22" s="1" t="s">
        <v>45</v>
      </c>
      <c r="C22" s="1">
        <v>29</v>
      </c>
      <c r="D22" s="1" t="s">
        <v>15</v>
      </c>
      <c r="E22" s="8">
        <v>44853</v>
      </c>
      <c r="F22" s="1">
        <v>557100</v>
      </c>
      <c r="G22" s="8">
        <v>44863</v>
      </c>
      <c r="H22" s="1">
        <v>521</v>
      </c>
      <c r="I22" s="9">
        <v>17245926</v>
      </c>
      <c r="J22" s="9">
        <v>9790888</v>
      </c>
      <c r="K22" s="1" t="s">
        <v>22</v>
      </c>
    </row>
    <row r="23" spans="1:11" x14ac:dyDescent="0.35">
      <c r="A23" s="1">
        <v>7107439</v>
      </c>
      <c r="B23" s="1" t="s">
        <v>46</v>
      </c>
      <c r="C23" s="1">
        <v>54</v>
      </c>
      <c r="D23" s="1" t="s">
        <v>15</v>
      </c>
      <c r="E23" s="8">
        <v>44769</v>
      </c>
      <c r="F23" s="1">
        <v>855954</v>
      </c>
      <c r="G23" s="8">
        <v>44779</v>
      </c>
      <c r="H23" s="1">
        <v>808</v>
      </c>
      <c r="I23" s="9">
        <v>12700508</v>
      </c>
      <c r="J23" s="9">
        <v>28045783</v>
      </c>
      <c r="K23" s="1" t="s">
        <v>24</v>
      </c>
    </row>
    <row r="24" spans="1:11" x14ac:dyDescent="0.35">
      <c r="A24" s="1">
        <v>2991283</v>
      </c>
      <c r="B24" s="1" t="s">
        <v>47</v>
      </c>
      <c r="C24" s="1">
        <v>45</v>
      </c>
      <c r="D24" s="1" t="s">
        <v>15</v>
      </c>
      <c r="E24" s="8">
        <v>45681</v>
      </c>
      <c r="F24" s="1">
        <v>303911</v>
      </c>
      <c r="G24" s="8">
        <v>45691</v>
      </c>
      <c r="H24" s="1">
        <v>413</v>
      </c>
      <c r="I24" s="9">
        <v>5611240</v>
      </c>
      <c r="J24" s="9">
        <v>26907957</v>
      </c>
      <c r="K24" s="1" t="s">
        <v>26</v>
      </c>
    </row>
    <row r="25" spans="1:11" x14ac:dyDescent="0.35">
      <c r="A25" s="1">
        <v>4064701</v>
      </c>
      <c r="B25" s="1" t="s">
        <v>48</v>
      </c>
      <c r="C25" s="1">
        <v>17</v>
      </c>
      <c r="D25" s="1" t="s">
        <v>15</v>
      </c>
      <c r="E25" s="8">
        <v>45480</v>
      </c>
      <c r="F25" s="1">
        <v>222431</v>
      </c>
      <c r="G25" s="8">
        <v>45490</v>
      </c>
      <c r="H25" s="1">
        <v>712</v>
      </c>
      <c r="I25" s="9">
        <v>15009149</v>
      </c>
      <c r="J25" s="9">
        <v>18837109</v>
      </c>
      <c r="K25" s="1" t="s">
        <v>28</v>
      </c>
    </row>
    <row r="26" spans="1:11" x14ac:dyDescent="0.35">
      <c r="A26" s="1">
        <v>4135053</v>
      </c>
      <c r="B26" s="1" t="s">
        <v>49</v>
      </c>
      <c r="C26" s="1">
        <v>32</v>
      </c>
      <c r="D26" s="1" t="s">
        <v>15</v>
      </c>
      <c r="E26" s="8">
        <v>44610</v>
      </c>
      <c r="F26" s="1">
        <v>929239</v>
      </c>
      <c r="G26" s="8">
        <v>44620</v>
      </c>
      <c r="H26" s="1">
        <v>621</v>
      </c>
      <c r="I26" s="9">
        <v>18567258</v>
      </c>
      <c r="J26" s="9">
        <v>21454990</v>
      </c>
      <c r="K26" s="1" t="s">
        <v>30</v>
      </c>
    </row>
    <row r="27" spans="1:11" x14ac:dyDescent="0.35">
      <c r="A27" s="1">
        <v>6257928</v>
      </c>
      <c r="B27" s="1" t="s">
        <v>50</v>
      </c>
      <c r="C27" s="1">
        <v>34</v>
      </c>
      <c r="D27" s="1" t="s">
        <v>12</v>
      </c>
      <c r="E27" s="8">
        <v>44507</v>
      </c>
      <c r="F27" s="1">
        <v>477653</v>
      </c>
      <c r="G27" s="8">
        <v>44517</v>
      </c>
      <c r="H27" s="1">
        <v>620</v>
      </c>
      <c r="I27" s="9">
        <v>19789506</v>
      </c>
      <c r="J27" s="9">
        <v>13204992</v>
      </c>
      <c r="K27" s="1" t="s">
        <v>32</v>
      </c>
    </row>
    <row r="28" spans="1:11" x14ac:dyDescent="0.35">
      <c r="A28" s="1">
        <v>7105047</v>
      </c>
      <c r="B28" s="1" t="s">
        <v>51</v>
      </c>
      <c r="C28" s="1">
        <v>26</v>
      </c>
      <c r="D28" s="1" t="s">
        <v>15</v>
      </c>
      <c r="E28" s="8">
        <v>45809</v>
      </c>
      <c r="F28" s="1">
        <v>671586</v>
      </c>
      <c r="G28" s="8">
        <v>45819</v>
      </c>
      <c r="H28" s="1">
        <v>521</v>
      </c>
      <c r="I28" s="9">
        <v>17505566</v>
      </c>
      <c r="J28" s="9">
        <v>14493294</v>
      </c>
      <c r="K28" s="1" t="s">
        <v>34</v>
      </c>
    </row>
    <row r="29" spans="1:11" x14ac:dyDescent="0.35">
      <c r="A29" s="1">
        <v>4943286</v>
      </c>
      <c r="B29" s="1" t="s">
        <v>52</v>
      </c>
      <c r="C29" s="1">
        <v>52</v>
      </c>
      <c r="D29" s="1" t="s">
        <v>12</v>
      </c>
      <c r="E29" s="8">
        <v>44101</v>
      </c>
      <c r="F29" s="1">
        <v>624509</v>
      </c>
      <c r="G29" s="8">
        <v>44111</v>
      </c>
      <c r="H29" s="1">
        <v>621</v>
      </c>
      <c r="I29" s="9">
        <v>15035175</v>
      </c>
      <c r="J29" s="9">
        <v>12562106</v>
      </c>
      <c r="K29" s="1" t="s">
        <v>30</v>
      </c>
    </row>
    <row r="30" spans="1:11" x14ac:dyDescent="0.35">
      <c r="A30" s="1">
        <v>1299582</v>
      </c>
      <c r="B30" s="1" t="s">
        <v>53</v>
      </c>
      <c r="C30" s="1">
        <v>63</v>
      </c>
      <c r="D30" s="1" t="s">
        <v>15</v>
      </c>
      <c r="E30" s="8">
        <v>44438</v>
      </c>
      <c r="F30" s="1">
        <v>595671</v>
      </c>
      <c r="G30" s="8">
        <v>44448</v>
      </c>
      <c r="H30" s="1">
        <v>620</v>
      </c>
      <c r="I30" s="9">
        <v>19840637</v>
      </c>
      <c r="J30" s="9">
        <v>6874149</v>
      </c>
      <c r="K30" s="1" t="s">
        <v>32</v>
      </c>
    </row>
    <row r="31" spans="1:11" x14ac:dyDescent="0.35">
      <c r="A31" s="1">
        <v>7720949</v>
      </c>
      <c r="B31" s="1" t="s">
        <v>54</v>
      </c>
      <c r="C31" s="1">
        <v>47</v>
      </c>
      <c r="D31" s="1" t="s">
        <v>12</v>
      </c>
      <c r="E31" s="8">
        <v>44071</v>
      </c>
      <c r="F31" s="1">
        <v>867656</v>
      </c>
      <c r="G31" s="8">
        <v>44081</v>
      </c>
      <c r="H31" s="1">
        <v>521</v>
      </c>
      <c r="I31" s="9">
        <v>6499856</v>
      </c>
      <c r="J31" s="9">
        <v>21478502</v>
      </c>
      <c r="K31" s="1" t="s">
        <v>34</v>
      </c>
    </row>
    <row r="32" spans="1:11" x14ac:dyDescent="0.35">
      <c r="A32" s="1">
        <v>5509941</v>
      </c>
      <c r="B32" s="1" t="s">
        <v>55</v>
      </c>
      <c r="C32" s="1">
        <v>37</v>
      </c>
      <c r="D32" s="1" t="s">
        <v>12</v>
      </c>
      <c r="E32" s="8">
        <v>44698</v>
      </c>
      <c r="F32" s="1">
        <v>567877</v>
      </c>
      <c r="G32" s="8">
        <v>44708</v>
      </c>
      <c r="H32" s="1">
        <v>621</v>
      </c>
      <c r="I32" s="9">
        <v>17667235</v>
      </c>
      <c r="J32" s="9">
        <v>26564261</v>
      </c>
      <c r="K32" s="1" t="s">
        <v>36</v>
      </c>
    </row>
    <row r="33" spans="1:11" x14ac:dyDescent="0.35">
      <c r="A33" s="1">
        <v>5234443</v>
      </c>
      <c r="B33" s="1" t="s">
        <v>56</v>
      </c>
      <c r="C33" s="1">
        <v>31</v>
      </c>
      <c r="D33" s="1" t="s">
        <v>15</v>
      </c>
      <c r="E33" s="8">
        <v>44117</v>
      </c>
      <c r="F33" s="1">
        <v>612788</v>
      </c>
      <c r="G33" s="8">
        <v>44127</v>
      </c>
      <c r="H33" s="1">
        <v>620</v>
      </c>
      <c r="I33" s="9">
        <v>19779502</v>
      </c>
      <c r="J33" s="9">
        <v>8837021</v>
      </c>
      <c r="K33" s="1" t="s">
        <v>18</v>
      </c>
    </row>
    <row r="34" spans="1:11" x14ac:dyDescent="0.35">
      <c r="A34" s="1">
        <v>1336094</v>
      </c>
      <c r="B34" s="1" t="s">
        <v>57</v>
      </c>
      <c r="C34" s="1">
        <v>57</v>
      </c>
      <c r="D34" s="1" t="s">
        <v>15</v>
      </c>
      <c r="E34" s="8">
        <v>44596</v>
      </c>
      <c r="F34" s="1">
        <v>892166</v>
      </c>
      <c r="G34" s="8">
        <v>44606</v>
      </c>
      <c r="H34" s="1">
        <v>521</v>
      </c>
      <c r="I34" s="9">
        <v>16911849</v>
      </c>
      <c r="J34" s="9">
        <v>4366385</v>
      </c>
      <c r="K34" s="1" t="s">
        <v>20</v>
      </c>
    </row>
    <row r="35" spans="1:11" x14ac:dyDescent="0.35">
      <c r="A35" s="1">
        <v>3189451</v>
      </c>
      <c r="B35" s="1" t="s">
        <v>50</v>
      </c>
      <c r="C35" s="1">
        <v>25</v>
      </c>
      <c r="D35" s="1" t="s">
        <v>12</v>
      </c>
      <c r="E35" s="8">
        <v>44078</v>
      </c>
      <c r="F35" s="1">
        <v>823344</v>
      </c>
      <c r="G35" s="8">
        <v>44088</v>
      </c>
      <c r="H35" s="1">
        <v>621</v>
      </c>
      <c r="I35" s="9">
        <v>12267083</v>
      </c>
      <c r="J35" s="9">
        <v>4936469</v>
      </c>
      <c r="K35" s="1" t="s">
        <v>22</v>
      </c>
    </row>
    <row r="36" spans="1:11" x14ac:dyDescent="0.35">
      <c r="A36" s="1">
        <v>3240019</v>
      </c>
      <c r="B36" s="1" t="s">
        <v>58</v>
      </c>
      <c r="C36" s="1">
        <v>47</v>
      </c>
      <c r="D36" s="1" t="s">
        <v>12</v>
      </c>
      <c r="E36" s="8">
        <v>45061</v>
      </c>
      <c r="F36" s="1">
        <v>258561</v>
      </c>
      <c r="G36" s="8">
        <v>45071</v>
      </c>
      <c r="H36" s="1">
        <v>620</v>
      </c>
      <c r="I36" s="9">
        <v>10790087</v>
      </c>
      <c r="J36" s="9">
        <v>27215431</v>
      </c>
      <c r="K36" s="1" t="s">
        <v>24</v>
      </c>
    </row>
    <row r="37" spans="1:11" x14ac:dyDescent="0.35">
      <c r="A37" s="1">
        <v>4699242</v>
      </c>
      <c r="B37" s="1" t="s">
        <v>59</v>
      </c>
      <c r="C37" s="1">
        <v>38</v>
      </c>
      <c r="D37" s="1" t="s">
        <v>15</v>
      </c>
      <c r="E37" s="8">
        <v>45699</v>
      </c>
      <c r="F37" s="1">
        <v>454757</v>
      </c>
      <c r="G37" s="8">
        <v>45709</v>
      </c>
      <c r="H37" s="1">
        <v>521</v>
      </c>
      <c r="I37" s="9">
        <v>11874334</v>
      </c>
      <c r="J37" s="9">
        <v>21570732</v>
      </c>
      <c r="K37" s="1" t="s">
        <v>13</v>
      </c>
    </row>
    <row r="38" spans="1:11" x14ac:dyDescent="0.35">
      <c r="A38" s="1">
        <v>2867802</v>
      </c>
      <c r="B38" s="1" t="s">
        <v>60</v>
      </c>
      <c r="C38" s="1">
        <v>27</v>
      </c>
      <c r="D38" s="1" t="s">
        <v>12</v>
      </c>
      <c r="E38" s="8">
        <v>44352</v>
      </c>
      <c r="F38" s="1">
        <v>566781</v>
      </c>
      <c r="G38" s="8">
        <v>44362</v>
      </c>
      <c r="H38" s="1">
        <v>621</v>
      </c>
      <c r="I38" s="9">
        <v>10150895</v>
      </c>
      <c r="J38" s="9">
        <v>29314589</v>
      </c>
      <c r="K38" s="1" t="s">
        <v>16</v>
      </c>
    </row>
    <row r="39" spans="1:11" x14ac:dyDescent="0.35">
      <c r="A39" s="1">
        <v>2136937</v>
      </c>
      <c r="B39" s="1" t="s">
        <v>61</v>
      </c>
      <c r="C39" s="1">
        <v>23</v>
      </c>
      <c r="D39" s="1" t="s">
        <v>15</v>
      </c>
      <c r="E39" s="8">
        <v>44587</v>
      </c>
      <c r="F39" s="1">
        <v>271562</v>
      </c>
      <c r="G39" s="8">
        <v>44597</v>
      </c>
      <c r="H39" s="1">
        <v>620</v>
      </c>
      <c r="I39" s="9">
        <v>19099072</v>
      </c>
      <c r="J39" s="9">
        <v>8149661</v>
      </c>
      <c r="K39" s="1" t="s">
        <v>18</v>
      </c>
    </row>
    <row r="40" spans="1:11" x14ac:dyDescent="0.35">
      <c r="A40" s="1">
        <v>3128151</v>
      </c>
      <c r="B40" s="1" t="s">
        <v>62</v>
      </c>
      <c r="C40" s="1">
        <v>33</v>
      </c>
      <c r="D40" s="1" t="s">
        <v>12</v>
      </c>
      <c r="E40" s="8">
        <v>45323</v>
      </c>
      <c r="F40" s="1">
        <v>314114</v>
      </c>
      <c r="G40" s="8">
        <v>45333</v>
      </c>
      <c r="H40" s="1">
        <v>521</v>
      </c>
      <c r="I40" s="9">
        <v>6664500</v>
      </c>
      <c r="J40" s="9">
        <v>12411708</v>
      </c>
      <c r="K40" s="1" t="s">
        <v>13</v>
      </c>
    </row>
    <row r="41" spans="1:11" x14ac:dyDescent="0.35">
      <c r="A41" s="1">
        <v>5927810</v>
      </c>
      <c r="B41" s="1" t="s">
        <v>63</v>
      </c>
      <c r="C41" s="1">
        <v>17</v>
      </c>
      <c r="D41" s="1" t="s">
        <v>15</v>
      </c>
      <c r="E41" s="8">
        <v>45136</v>
      </c>
      <c r="F41" s="1">
        <v>601026</v>
      </c>
      <c r="G41" s="8">
        <v>45146</v>
      </c>
      <c r="H41" s="1">
        <v>621</v>
      </c>
      <c r="I41" s="9">
        <v>13891439</v>
      </c>
      <c r="J41" s="9">
        <v>19951382</v>
      </c>
      <c r="K41" s="1" t="s">
        <v>16</v>
      </c>
    </row>
    <row r="42" spans="1:11" x14ac:dyDescent="0.35">
      <c r="A42" s="1">
        <v>7768822</v>
      </c>
      <c r="B42" s="1" t="s">
        <v>64</v>
      </c>
      <c r="C42" s="1">
        <v>36</v>
      </c>
      <c r="D42" s="1" t="s">
        <v>15</v>
      </c>
      <c r="E42" s="8">
        <v>45680</v>
      </c>
      <c r="F42" s="1">
        <v>448751</v>
      </c>
      <c r="G42" s="8">
        <v>45690</v>
      </c>
      <c r="H42" s="1">
        <v>620</v>
      </c>
      <c r="I42" s="9">
        <v>12317440</v>
      </c>
      <c r="J42" s="9">
        <v>26703716</v>
      </c>
      <c r="K42" s="1" t="s">
        <v>18</v>
      </c>
    </row>
    <row r="43" spans="1:11" x14ac:dyDescent="0.35">
      <c r="A43" s="1">
        <v>3654687</v>
      </c>
      <c r="B43" s="1" t="s">
        <v>65</v>
      </c>
      <c r="C43" s="1">
        <v>47</v>
      </c>
      <c r="D43" s="1" t="s">
        <v>15</v>
      </c>
      <c r="E43" s="8">
        <v>43885</v>
      </c>
      <c r="F43" s="1">
        <v>740410</v>
      </c>
      <c r="G43" s="8">
        <v>43895</v>
      </c>
      <c r="H43" s="1">
        <v>521</v>
      </c>
      <c r="I43" s="9">
        <v>14755763</v>
      </c>
      <c r="J43" s="9">
        <v>22759108</v>
      </c>
      <c r="K43" s="1" t="s">
        <v>20</v>
      </c>
    </row>
    <row r="44" spans="1:11" x14ac:dyDescent="0.35">
      <c r="A44" s="1">
        <v>7586399</v>
      </c>
      <c r="B44" s="1" t="s">
        <v>66</v>
      </c>
      <c r="C44" s="1">
        <v>62</v>
      </c>
      <c r="D44" s="1" t="s">
        <v>15</v>
      </c>
      <c r="E44" s="8">
        <v>44910</v>
      </c>
      <c r="F44" s="1">
        <v>508850</v>
      </c>
      <c r="G44" s="8">
        <v>44920</v>
      </c>
      <c r="H44" s="1">
        <v>712</v>
      </c>
      <c r="I44" s="9">
        <v>7319461</v>
      </c>
      <c r="J44" s="9">
        <v>7179407</v>
      </c>
      <c r="K44" s="1" t="s">
        <v>30</v>
      </c>
    </row>
    <row r="45" spans="1:11" x14ac:dyDescent="0.35">
      <c r="A45" s="1">
        <v>4187863</v>
      </c>
      <c r="B45" s="1" t="s">
        <v>67</v>
      </c>
      <c r="C45" s="1">
        <v>32</v>
      </c>
      <c r="D45" s="1" t="s">
        <v>12</v>
      </c>
      <c r="E45" s="8">
        <v>44156</v>
      </c>
      <c r="F45" s="1">
        <v>861263</v>
      </c>
      <c r="G45" s="8">
        <v>44166</v>
      </c>
      <c r="H45" s="1">
        <v>712</v>
      </c>
      <c r="I45" s="9">
        <v>5527170</v>
      </c>
      <c r="J45" s="9">
        <v>3643301</v>
      </c>
      <c r="K45" s="1" t="s">
        <v>32</v>
      </c>
    </row>
    <row r="46" spans="1:11" x14ac:dyDescent="0.35">
      <c r="A46" s="1">
        <v>4815127</v>
      </c>
      <c r="B46" s="1" t="s">
        <v>68</v>
      </c>
      <c r="C46" s="1">
        <v>35</v>
      </c>
      <c r="D46" s="1" t="s">
        <v>12</v>
      </c>
      <c r="E46" s="8">
        <v>43863</v>
      </c>
      <c r="F46" s="1">
        <v>367384</v>
      </c>
      <c r="G46" s="8">
        <v>43873</v>
      </c>
      <c r="H46" s="1">
        <v>712</v>
      </c>
      <c r="I46" s="9">
        <v>8046824</v>
      </c>
      <c r="J46" s="9">
        <v>16134032</v>
      </c>
      <c r="K46" s="1" t="s">
        <v>34</v>
      </c>
    </row>
    <row r="47" spans="1:11" x14ac:dyDescent="0.35">
      <c r="A47" s="1">
        <v>4939445</v>
      </c>
      <c r="B47" s="1" t="s">
        <v>69</v>
      </c>
      <c r="C47" s="1">
        <v>63</v>
      </c>
      <c r="D47" s="1" t="s">
        <v>12</v>
      </c>
      <c r="E47" s="8">
        <v>45649</v>
      </c>
      <c r="F47" s="1">
        <v>581196</v>
      </c>
      <c r="G47" s="8">
        <v>45659</v>
      </c>
      <c r="H47" s="1">
        <v>712</v>
      </c>
      <c r="I47" s="9">
        <v>16639440</v>
      </c>
      <c r="J47" s="9">
        <v>11869770</v>
      </c>
      <c r="K47" s="1" t="s">
        <v>36</v>
      </c>
    </row>
    <row r="48" spans="1:11" x14ac:dyDescent="0.35">
      <c r="A48" s="1">
        <v>3323507</v>
      </c>
      <c r="B48" s="1" t="s">
        <v>70</v>
      </c>
      <c r="C48" s="1">
        <v>35</v>
      </c>
      <c r="D48" s="1" t="s">
        <v>15</v>
      </c>
      <c r="E48" s="8">
        <v>44937</v>
      </c>
      <c r="F48" s="1">
        <v>919522</v>
      </c>
      <c r="G48" s="8">
        <v>44947</v>
      </c>
      <c r="H48" s="1">
        <v>712</v>
      </c>
      <c r="I48" s="9">
        <v>13271810</v>
      </c>
      <c r="J48" s="9">
        <v>6936306</v>
      </c>
      <c r="K48" s="1" t="s">
        <v>18</v>
      </c>
    </row>
    <row r="49" spans="1:11" x14ac:dyDescent="0.35">
      <c r="A49" s="1">
        <v>1204998</v>
      </c>
      <c r="B49" s="1" t="s">
        <v>71</v>
      </c>
      <c r="C49" s="1">
        <v>25</v>
      </c>
      <c r="D49" s="1" t="s">
        <v>12</v>
      </c>
      <c r="E49" s="8">
        <v>45529</v>
      </c>
      <c r="F49" s="1">
        <v>621052</v>
      </c>
      <c r="G49" s="8">
        <v>45539</v>
      </c>
      <c r="H49" s="1">
        <v>712</v>
      </c>
      <c r="I49" s="9">
        <v>17834297</v>
      </c>
      <c r="J49" s="9">
        <v>4756766</v>
      </c>
      <c r="K49" s="1" t="s">
        <v>20</v>
      </c>
    </row>
    <row r="50" spans="1:11" x14ac:dyDescent="0.35">
      <c r="A50" s="1">
        <v>6802871</v>
      </c>
      <c r="B50" s="1" t="s">
        <v>72</v>
      </c>
      <c r="C50" s="1">
        <v>50</v>
      </c>
      <c r="D50" s="1" t="s">
        <v>15</v>
      </c>
      <c r="E50" s="8">
        <v>44736</v>
      </c>
      <c r="F50" s="1">
        <v>280903</v>
      </c>
      <c r="G50" s="8">
        <v>44746</v>
      </c>
      <c r="H50" s="1">
        <v>712</v>
      </c>
      <c r="I50" s="9">
        <v>15194618</v>
      </c>
      <c r="J50" s="9">
        <v>3957314</v>
      </c>
      <c r="K50" s="1" t="s">
        <v>22</v>
      </c>
    </row>
    <row r="51" spans="1:11" x14ac:dyDescent="0.35">
      <c r="A51" s="1">
        <v>1894133</v>
      </c>
      <c r="B51" s="1" t="s">
        <v>73</v>
      </c>
      <c r="C51" s="1">
        <v>16</v>
      </c>
      <c r="D51" s="1" t="s">
        <v>15</v>
      </c>
      <c r="E51" s="8">
        <v>45469</v>
      </c>
      <c r="F51" s="1">
        <v>724214</v>
      </c>
      <c r="G51" s="8">
        <v>45479</v>
      </c>
      <c r="H51" s="1">
        <v>712</v>
      </c>
      <c r="I51" s="9">
        <v>18099027</v>
      </c>
      <c r="J51" s="9">
        <v>11220974</v>
      </c>
      <c r="K51" s="1" t="s">
        <v>24</v>
      </c>
    </row>
    <row r="52" spans="1:11" x14ac:dyDescent="0.35">
      <c r="A52" s="1">
        <v>6126785</v>
      </c>
      <c r="B52" s="1" t="s">
        <v>74</v>
      </c>
      <c r="C52" s="1">
        <v>50</v>
      </c>
      <c r="D52" s="1" t="s">
        <v>15</v>
      </c>
      <c r="E52" s="8">
        <v>45747</v>
      </c>
      <c r="F52" s="1">
        <v>612440</v>
      </c>
      <c r="G52" s="8">
        <v>45757</v>
      </c>
      <c r="H52" s="1">
        <v>712</v>
      </c>
      <c r="I52" s="9">
        <v>8060959</v>
      </c>
      <c r="J52" s="9">
        <v>4015191</v>
      </c>
      <c r="K52" s="1" t="s">
        <v>13</v>
      </c>
    </row>
    <row r="53" spans="1:11" x14ac:dyDescent="0.35">
      <c r="A53" s="1">
        <v>4296337</v>
      </c>
      <c r="B53" s="1" t="s">
        <v>75</v>
      </c>
      <c r="C53" s="1">
        <v>58</v>
      </c>
      <c r="D53" s="1" t="s">
        <v>12</v>
      </c>
      <c r="E53" s="8">
        <v>44371</v>
      </c>
      <c r="F53" s="1">
        <v>382953</v>
      </c>
      <c r="G53" s="8">
        <v>44381</v>
      </c>
      <c r="H53" s="1">
        <v>712</v>
      </c>
      <c r="I53" s="9">
        <v>8053265</v>
      </c>
      <c r="J53" s="9">
        <v>28924534</v>
      </c>
      <c r="K53" s="1" t="s">
        <v>16</v>
      </c>
    </row>
    <row r="54" spans="1:11" x14ac:dyDescent="0.35">
      <c r="A54" s="1">
        <v>4211498</v>
      </c>
      <c r="B54" s="1" t="s">
        <v>76</v>
      </c>
      <c r="C54" s="1">
        <v>46</v>
      </c>
      <c r="D54" s="1" t="s">
        <v>12</v>
      </c>
      <c r="E54" s="8">
        <v>44607</v>
      </c>
      <c r="F54" s="1">
        <v>669194</v>
      </c>
      <c r="G54" s="8">
        <v>44617</v>
      </c>
      <c r="H54" s="1">
        <v>712</v>
      </c>
      <c r="I54" s="9">
        <v>11343322</v>
      </c>
      <c r="J54" s="9">
        <v>9826103</v>
      </c>
      <c r="K54" s="1" t="s">
        <v>18</v>
      </c>
    </row>
    <row r="55" spans="1:11" x14ac:dyDescent="0.35">
      <c r="A55" s="1">
        <v>8868806</v>
      </c>
      <c r="B55" s="1" t="s">
        <v>77</v>
      </c>
      <c r="C55" s="1">
        <v>41</v>
      </c>
      <c r="D55" s="1" t="s">
        <v>15</v>
      </c>
      <c r="E55" s="8">
        <v>44130</v>
      </c>
      <c r="F55" s="1">
        <v>263382</v>
      </c>
      <c r="G55" s="8">
        <v>44140</v>
      </c>
      <c r="H55" s="1">
        <v>712</v>
      </c>
      <c r="I55" s="9">
        <v>7406005</v>
      </c>
      <c r="J55" s="9">
        <v>18618038</v>
      </c>
      <c r="K55" s="1" t="s">
        <v>20</v>
      </c>
    </row>
    <row r="56" spans="1:11" x14ac:dyDescent="0.35">
      <c r="A56" s="1">
        <v>7967268</v>
      </c>
      <c r="B56" s="1" t="s">
        <v>78</v>
      </c>
      <c r="C56" s="1">
        <v>53</v>
      </c>
      <c r="D56" s="1" t="s">
        <v>15</v>
      </c>
      <c r="E56" s="8">
        <v>43890</v>
      </c>
      <c r="F56" s="1">
        <v>850429</v>
      </c>
      <c r="G56" s="8">
        <v>43900</v>
      </c>
      <c r="H56" s="1">
        <v>712</v>
      </c>
      <c r="I56" s="9">
        <v>1296036</v>
      </c>
      <c r="J56" s="9">
        <v>2917443</v>
      </c>
      <c r="K56" s="1" t="s">
        <v>22</v>
      </c>
    </row>
    <row r="57" spans="1:11" x14ac:dyDescent="0.35">
      <c r="A57" s="1">
        <v>5085108</v>
      </c>
      <c r="B57" s="1" t="s">
        <v>79</v>
      </c>
      <c r="C57" s="1">
        <v>34</v>
      </c>
      <c r="D57" s="1" t="s">
        <v>15</v>
      </c>
      <c r="E57" s="8">
        <v>44014</v>
      </c>
      <c r="F57" s="1">
        <v>782353</v>
      </c>
      <c r="G57" s="8">
        <v>44024</v>
      </c>
      <c r="H57" s="1">
        <v>712</v>
      </c>
      <c r="I57" s="9">
        <v>5916064</v>
      </c>
      <c r="J57" s="9">
        <v>2462488</v>
      </c>
      <c r="K57" s="1" t="s">
        <v>24</v>
      </c>
    </row>
    <row r="58" spans="1:11" x14ac:dyDescent="0.35">
      <c r="A58" s="1">
        <v>5573033</v>
      </c>
      <c r="B58" s="1" t="s">
        <v>80</v>
      </c>
      <c r="C58" s="1">
        <v>20</v>
      </c>
      <c r="D58" s="1" t="s">
        <v>15</v>
      </c>
      <c r="E58" s="8">
        <v>44256</v>
      </c>
      <c r="F58" s="1">
        <v>332449</v>
      </c>
      <c r="G58" s="8">
        <v>44266</v>
      </c>
      <c r="H58" s="1">
        <v>712</v>
      </c>
      <c r="I58" s="9">
        <v>1003910</v>
      </c>
      <c r="J58" s="9">
        <v>7150798</v>
      </c>
      <c r="K58" s="1" t="s">
        <v>26</v>
      </c>
    </row>
    <row r="59" spans="1:11" x14ac:dyDescent="0.35">
      <c r="A59" s="1">
        <v>2876035</v>
      </c>
      <c r="B59" s="1" t="s">
        <v>81</v>
      </c>
      <c r="C59" s="1">
        <v>48</v>
      </c>
      <c r="D59" s="1" t="s">
        <v>15</v>
      </c>
      <c r="E59" s="8">
        <v>43853</v>
      </c>
      <c r="F59" s="1">
        <v>928860</v>
      </c>
      <c r="G59" s="8">
        <v>43863</v>
      </c>
      <c r="H59" s="1">
        <v>712</v>
      </c>
      <c r="I59" s="9">
        <v>7443538</v>
      </c>
      <c r="J59" s="9">
        <v>8380372</v>
      </c>
      <c r="K59" s="1" t="s">
        <v>28</v>
      </c>
    </row>
    <row r="60" spans="1:11" x14ac:dyDescent="0.35">
      <c r="A60" s="1">
        <v>5488680</v>
      </c>
      <c r="B60" s="1" t="s">
        <v>82</v>
      </c>
      <c r="C60" s="1">
        <v>55</v>
      </c>
      <c r="D60" s="1" t="s">
        <v>15</v>
      </c>
      <c r="E60" s="8">
        <v>45399</v>
      </c>
      <c r="F60" s="1">
        <v>336482</v>
      </c>
      <c r="G60" s="8">
        <v>45409</v>
      </c>
      <c r="H60" s="1">
        <v>712</v>
      </c>
      <c r="I60" s="9">
        <v>3671034</v>
      </c>
      <c r="J60" s="9">
        <v>2344089</v>
      </c>
      <c r="K60" s="1" t="s">
        <v>20</v>
      </c>
    </row>
    <row r="61" spans="1:11" x14ac:dyDescent="0.35">
      <c r="A61" s="1">
        <v>1425629</v>
      </c>
      <c r="B61" s="1" t="s">
        <v>83</v>
      </c>
      <c r="C61" s="1">
        <v>57</v>
      </c>
      <c r="D61" s="1" t="s">
        <v>15</v>
      </c>
      <c r="E61" s="8">
        <v>44133</v>
      </c>
      <c r="F61" s="1">
        <v>285259</v>
      </c>
      <c r="G61" s="8">
        <v>44143</v>
      </c>
      <c r="H61" s="1">
        <v>712</v>
      </c>
      <c r="I61" s="9">
        <v>5484200</v>
      </c>
      <c r="J61" s="9">
        <v>6373782</v>
      </c>
      <c r="K61" s="1" t="s">
        <v>20</v>
      </c>
    </row>
    <row r="62" spans="1:11" x14ac:dyDescent="0.35">
      <c r="A62" s="1">
        <v>3209589</v>
      </c>
      <c r="B62" s="1" t="s">
        <v>84</v>
      </c>
      <c r="C62" s="1">
        <v>28</v>
      </c>
      <c r="D62" s="1" t="s">
        <v>15</v>
      </c>
      <c r="E62" s="8">
        <v>43846</v>
      </c>
      <c r="F62" s="1">
        <v>522026</v>
      </c>
      <c r="G62" s="8">
        <v>43856</v>
      </c>
      <c r="H62" s="1">
        <v>712</v>
      </c>
      <c r="I62" s="9">
        <v>5736609</v>
      </c>
      <c r="J62" s="9">
        <v>2377379</v>
      </c>
      <c r="K62" s="1" t="s">
        <v>20</v>
      </c>
    </row>
    <row r="63" spans="1:11" x14ac:dyDescent="0.35">
      <c r="A63" s="1">
        <v>3617129</v>
      </c>
      <c r="B63" s="1" t="s">
        <v>85</v>
      </c>
      <c r="C63" s="1">
        <v>25</v>
      </c>
      <c r="D63" s="1" t="s">
        <v>12</v>
      </c>
      <c r="E63" s="8">
        <v>45375</v>
      </c>
      <c r="F63" s="1">
        <v>961658</v>
      </c>
      <c r="G63" s="8">
        <v>45385</v>
      </c>
      <c r="H63" s="1">
        <v>712</v>
      </c>
      <c r="I63" s="9">
        <v>1331445</v>
      </c>
      <c r="J63" s="9">
        <v>8610335</v>
      </c>
      <c r="K63" s="1" t="s">
        <v>22</v>
      </c>
    </row>
    <row r="64" spans="1:11" x14ac:dyDescent="0.35">
      <c r="A64" s="1">
        <v>2379049</v>
      </c>
      <c r="B64" s="1" t="s">
        <v>86</v>
      </c>
      <c r="C64" s="1">
        <v>62</v>
      </c>
      <c r="D64" s="1" t="s">
        <v>15</v>
      </c>
      <c r="E64" s="8">
        <v>45188</v>
      </c>
      <c r="F64" s="1">
        <v>552006</v>
      </c>
      <c r="G64" s="8">
        <v>45198</v>
      </c>
      <c r="H64" s="1">
        <v>712</v>
      </c>
      <c r="I64" s="9">
        <v>7395207</v>
      </c>
      <c r="J64" s="9">
        <v>3548196</v>
      </c>
      <c r="K64" s="1" t="s">
        <v>24</v>
      </c>
    </row>
    <row r="65" spans="1:11" x14ac:dyDescent="0.35">
      <c r="A65" s="1">
        <v>7736390</v>
      </c>
      <c r="B65" s="1" t="s">
        <v>87</v>
      </c>
      <c r="C65" s="1">
        <v>61</v>
      </c>
      <c r="D65" s="1" t="s">
        <v>12</v>
      </c>
      <c r="E65" s="8">
        <v>44890</v>
      </c>
      <c r="F65" s="1">
        <v>679854</v>
      </c>
      <c r="G65" s="8">
        <v>44900</v>
      </c>
      <c r="H65" s="1">
        <v>712</v>
      </c>
      <c r="I65" s="9">
        <v>7373536</v>
      </c>
      <c r="J65" s="9">
        <v>3542889</v>
      </c>
      <c r="K65" s="1" t="s">
        <v>13</v>
      </c>
    </row>
    <row r="66" spans="1:11" x14ac:dyDescent="0.35">
      <c r="A66" s="1">
        <v>7272250</v>
      </c>
      <c r="B66" s="1" t="s">
        <v>88</v>
      </c>
      <c r="C66" s="1">
        <v>55</v>
      </c>
      <c r="D66" s="1" t="s">
        <v>15</v>
      </c>
      <c r="E66" s="8">
        <v>43974</v>
      </c>
      <c r="F66" s="1">
        <v>491294</v>
      </c>
      <c r="G66" s="8">
        <v>43984</v>
      </c>
      <c r="H66" s="1">
        <v>712</v>
      </c>
      <c r="I66" s="9">
        <v>1880751</v>
      </c>
      <c r="J66" s="9">
        <v>4043924</v>
      </c>
      <c r="K66" s="1" t="s">
        <v>28</v>
      </c>
    </row>
    <row r="67" spans="1:11" x14ac:dyDescent="0.35">
      <c r="A67" s="1">
        <v>6800195</v>
      </c>
      <c r="B67" s="1" t="s">
        <v>89</v>
      </c>
      <c r="C67" s="1">
        <v>43</v>
      </c>
      <c r="D67" s="1" t="s">
        <v>15</v>
      </c>
      <c r="E67" s="8">
        <v>44016</v>
      </c>
      <c r="F67" s="1">
        <v>383039</v>
      </c>
      <c r="G67" s="8">
        <v>44026</v>
      </c>
      <c r="H67" s="1">
        <v>712</v>
      </c>
      <c r="I67" s="9">
        <v>1940227</v>
      </c>
      <c r="J67" s="9">
        <v>2682491</v>
      </c>
      <c r="K67" s="1" t="s">
        <v>28</v>
      </c>
    </row>
    <row r="68" spans="1:11" x14ac:dyDescent="0.35">
      <c r="A68" s="1">
        <v>7435628</v>
      </c>
      <c r="B68" s="1" t="s">
        <v>90</v>
      </c>
      <c r="C68" s="1">
        <v>17</v>
      </c>
      <c r="D68" s="1" t="s">
        <v>12</v>
      </c>
      <c r="E68" s="8">
        <v>44900</v>
      </c>
      <c r="F68" s="1">
        <v>924643</v>
      </c>
      <c r="G68" s="8">
        <v>44910</v>
      </c>
      <c r="H68" s="1">
        <v>712</v>
      </c>
      <c r="I68" s="9">
        <v>5762246</v>
      </c>
      <c r="J68" s="9">
        <v>2934830</v>
      </c>
      <c r="K68" s="1" t="s">
        <v>28</v>
      </c>
    </row>
    <row r="69" spans="1:11" x14ac:dyDescent="0.35">
      <c r="A69" s="1">
        <v>2668940</v>
      </c>
      <c r="B69" s="1" t="s">
        <v>91</v>
      </c>
      <c r="C69" s="1">
        <v>27</v>
      </c>
      <c r="D69" s="1" t="s">
        <v>12</v>
      </c>
      <c r="E69" s="8">
        <v>44090</v>
      </c>
      <c r="F69" s="1">
        <v>368461</v>
      </c>
      <c r="G69" s="8">
        <v>44100</v>
      </c>
      <c r="H69" s="1">
        <v>712</v>
      </c>
      <c r="I69" s="9">
        <v>1839986</v>
      </c>
      <c r="J69" s="9">
        <v>3898348</v>
      </c>
      <c r="K69" s="1" t="s">
        <v>28</v>
      </c>
    </row>
    <row r="70" spans="1:11" x14ac:dyDescent="0.35">
      <c r="A70" s="1">
        <v>6451744</v>
      </c>
      <c r="B70" s="1" t="s">
        <v>92</v>
      </c>
      <c r="C70" s="1">
        <v>24</v>
      </c>
      <c r="D70" s="1" t="s">
        <v>15</v>
      </c>
      <c r="E70" s="8">
        <v>45420</v>
      </c>
      <c r="F70" s="1">
        <v>723769</v>
      </c>
      <c r="G70" s="8">
        <v>45430</v>
      </c>
      <c r="H70" s="1">
        <v>712</v>
      </c>
      <c r="I70" s="9">
        <v>5011595</v>
      </c>
      <c r="J70" s="9">
        <v>4978997</v>
      </c>
      <c r="K70" s="1" t="s">
        <v>26</v>
      </c>
    </row>
    <row r="71" spans="1:11" x14ac:dyDescent="0.35">
      <c r="A71" s="1">
        <v>4999597</v>
      </c>
      <c r="B71" s="1" t="s">
        <v>93</v>
      </c>
      <c r="C71" s="1">
        <v>55</v>
      </c>
      <c r="D71" s="1" t="s">
        <v>12</v>
      </c>
      <c r="E71" s="8">
        <v>45657</v>
      </c>
      <c r="F71" s="1">
        <v>287509</v>
      </c>
      <c r="G71" s="8">
        <v>45667</v>
      </c>
      <c r="H71" s="1">
        <v>712</v>
      </c>
      <c r="I71" s="9">
        <v>4982805</v>
      </c>
      <c r="J71" s="9">
        <v>4198545</v>
      </c>
      <c r="K71" s="1" t="s">
        <v>26</v>
      </c>
    </row>
    <row r="72" spans="1:11" x14ac:dyDescent="0.35">
      <c r="A72" s="1">
        <v>2244934</v>
      </c>
      <c r="B72" s="1" t="s">
        <v>94</v>
      </c>
      <c r="C72" s="1">
        <v>20</v>
      </c>
      <c r="D72" s="1" t="s">
        <v>15</v>
      </c>
      <c r="E72" s="8">
        <v>44524</v>
      </c>
      <c r="F72" s="1">
        <v>644458</v>
      </c>
      <c r="G72" s="8">
        <v>44534</v>
      </c>
      <c r="H72" s="1">
        <v>712</v>
      </c>
      <c r="I72" s="9">
        <v>6706204</v>
      </c>
      <c r="J72" s="9">
        <v>8187173</v>
      </c>
      <c r="K72" s="1" t="s">
        <v>36</v>
      </c>
    </row>
    <row r="73" spans="1:11" x14ac:dyDescent="0.35">
      <c r="A73" s="1">
        <v>5839820</v>
      </c>
      <c r="B73" s="1" t="s">
        <v>95</v>
      </c>
      <c r="C73" s="1">
        <v>39</v>
      </c>
      <c r="D73" s="1" t="s">
        <v>12</v>
      </c>
      <c r="E73" s="8">
        <v>45795</v>
      </c>
      <c r="F73" s="1">
        <v>637043</v>
      </c>
      <c r="G73" s="8">
        <v>45805</v>
      </c>
      <c r="H73" s="1">
        <v>712</v>
      </c>
      <c r="I73" s="9">
        <v>2977864</v>
      </c>
      <c r="J73" s="9">
        <v>4106434</v>
      </c>
      <c r="K73" s="1" t="s">
        <v>36</v>
      </c>
    </row>
    <row r="74" spans="1:11" x14ac:dyDescent="0.35">
      <c r="A74" s="1">
        <v>7614009</v>
      </c>
      <c r="B74" s="1" t="s">
        <v>96</v>
      </c>
      <c r="C74" s="1">
        <v>17</v>
      </c>
      <c r="D74" s="1" t="s">
        <v>15</v>
      </c>
      <c r="E74" s="8">
        <v>44955</v>
      </c>
      <c r="F74" s="1">
        <v>413393</v>
      </c>
      <c r="G74" s="8">
        <v>44965</v>
      </c>
      <c r="H74" s="1">
        <v>712</v>
      </c>
      <c r="I74" s="9">
        <v>7685578</v>
      </c>
      <c r="J74" s="9">
        <v>2305551</v>
      </c>
      <c r="K74" s="1" t="s">
        <v>36</v>
      </c>
    </row>
    <row r="75" spans="1:11" x14ac:dyDescent="0.35">
      <c r="A75" s="1">
        <v>5725578</v>
      </c>
      <c r="B75" s="1" t="s">
        <v>97</v>
      </c>
      <c r="C75" s="1">
        <v>45</v>
      </c>
      <c r="D75" s="1" t="s">
        <v>15</v>
      </c>
      <c r="E75" s="8">
        <v>44696</v>
      </c>
      <c r="F75" s="1">
        <v>559128</v>
      </c>
      <c r="G75" s="8">
        <v>44706</v>
      </c>
      <c r="H75" s="1">
        <v>712</v>
      </c>
      <c r="I75" s="9">
        <v>3843021</v>
      </c>
      <c r="J75" s="9">
        <v>4289318</v>
      </c>
      <c r="K75" s="1" t="s">
        <v>36</v>
      </c>
    </row>
    <row r="76" spans="1:11" x14ac:dyDescent="0.35">
      <c r="A76" s="1">
        <v>1523208</v>
      </c>
      <c r="B76" s="1" t="s">
        <v>72</v>
      </c>
      <c r="C76" s="1">
        <v>30</v>
      </c>
      <c r="D76" s="1" t="s">
        <v>15</v>
      </c>
      <c r="E76" s="8">
        <v>45075</v>
      </c>
      <c r="F76" s="1">
        <v>936386</v>
      </c>
      <c r="G76" s="8">
        <v>45085</v>
      </c>
      <c r="H76" s="1">
        <v>712</v>
      </c>
      <c r="I76" s="9">
        <v>4898438</v>
      </c>
      <c r="J76" s="9">
        <v>5511340</v>
      </c>
      <c r="K76" s="1" t="s">
        <v>36</v>
      </c>
    </row>
    <row r="77" spans="1:11" x14ac:dyDescent="0.35">
      <c r="A77" s="1">
        <v>2246321</v>
      </c>
      <c r="B77" s="1" t="s">
        <v>98</v>
      </c>
      <c r="C77" s="1">
        <v>33</v>
      </c>
      <c r="D77" s="1" t="s">
        <v>15</v>
      </c>
      <c r="E77" s="8">
        <v>45883</v>
      </c>
      <c r="F77" s="1">
        <v>708929</v>
      </c>
      <c r="G77" s="8">
        <v>45893</v>
      </c>
      <c r="H77" s="1">
        <v>712</v>
      </c>
      <c r="I77" s="9">
        <v>1411191</v>
      </c>
      <c r="J77" s="9">
        <v>5761288</v>
      </c>
      <c r="K77" s="1" t="s">
        <v>36</v>
      </c>
    </row>
    <row r="78" spans="1:11" x14ac:dyDescent="0.35">
      <c r="A78" s="1">
        <v>4802566</v>
      </c>
      <c r="B78" s="1" t="s">
        <v>99</v>
      </c>
      <c r="C78" s="1">
        <v>15</v>
      </c>
      <c r="D78" s="1" t="s">
        <v>12</v>
      </c>
      <c r="E78" s="8">
        <v>44721</v>
      </c>
      <c r="F78" s="1">
        <v>991586</v>
      </c>
      <c r="G78" s="8">
        <v>44731</v>
      </c>
      <c r="H78" s="1">
        <v>712</v>
      </c>
      <c r="I78" s="9">
        <v>4995096</v>
      </c>
      <c r="J78" s="9">
        <v>3178238</v>
      </c>
      <c r="K78" s="1" t="s">
        <v>36</v>
      </c>
    </row>
    <row r="79" spans="1:11" x14ac:dyDescent="0.35">
      <c r="A79" s="1">
        <v>3584130</v>
      </c>
      <c r="B79" s="1" t="s">
        <v>100</v>
      </c>
      <c r="C79" s="1">
        <v>55</v>
      </c>
      <c r="D79" s="1" t="s">
        <v>15</v>
      </c>
      <c r="E79" s="8">
        <v>44829</v>
      </c>
      <c r="F79" s="1">
        <v>887065</v>
      </c>
      <c r="G79" s="8">
        <v>44839</v>
      </c>
      <c r="H79" s="1">
        <v>712</v>
      </c>
      <c r="I79" s="9">
        <v>3628982</v>
      </c>
      <c r="J79" s="9">
        <v>2852846</v>
      </c>
      <c r="K79" s="1" t="s">
        <v>36</v>
      </c>
    </row>
    <row r="80" spans="1:11" x14ac:dyDescent="0.35">
      <c r="A80" s="1">
        <v>1650584</v>
      </c>
      <c r="B80" s="1" t="s">
        <v>101</v>
      </c>
      <c r="C80" s="1">
        <v>33</v>
      </c>
      <c r="D80" s="1" t="s">
        <v>12</v>
      </c>
      <c r="E80" s="8">
        <v>45077</v>
      </c>
      <c r="F80" s="1">
        <v>258214</v>
      </c>
      <c r="G80" s="8">
        <v>45087</v>
      </c>
      <c r="H80" s="1">
        <v>712</v>
      </c>
      <c r="I80" s="9">
        <v>6082501</v>
      </c>
      <c r="J80" s="9">
        <v>2480142</v>
      </c>
      <c r="K80" s="1" t="s">
        <v>36</v>
      </c>
    </row>
    <row r="81" spans="1:11" x14ac:dyDescent="0.35">
      <c r="A81" s="1">
        <v>7950565</v>
      </c>
      <c r="B81" s="1" t="s">
        <v>102</v>
      </c>
      <c r="C81" s="1">
        <v>51</v>
      </c>
      <c r="D81" s="1" t="s">
        <v>15</v>
      </c>
      <c r="E81" s="8">
        <v>45809</v>
      </c>
      <c r="F81" s="1">
        <v>345788</v>
      </c>
      <c r="G81" s="8">
        <v>45819</v>
      </c>
      <c r="H81" s="1">
        <v>712</v>
      </c>
      <c r="I81" s="9">
        <v>4560632</v>
      </c>
      <c r="J81" s="9">
        <v>5074009</v>
      </c>
      <c r="K81" s="1" t="s">
        <v>36</v>
      </c>
    </row>
    <row r="82" spans="1:11" x14ac:dyDescent="0.35">
      <c r="A82" s="1">
        <v>5736510</v>
      </c>
      <c r="B82" s="1" t="s">
        <v>103</v>
      </c>
      <c r="C82" s="1">
        <v>44</v>
      </c>
      <c r="D82" s="1" t="s">
        <v>15</v>
      </c>
      <c r="E82" s="8">
        <v>44095</v>
      </c>
      <c r="F82" s="1">
        <v>539464</v>
      </c>
      <c r="G82" s="8">
        <v>44105</v>
      </c>
      <c r="H82" s="1">
        <v>712</v>
      </c>
      <c r="I82" s="9">
        <v>2546303</v>
      </c>
      <c r="J82" s="9">
        <v>9357549</v>
      </c>
      <c r="K82" s="1" t="s">
        <v>36</v>
      </c>
    </row>
    <row r="83" spans="1:11" x14ac:dyDescent="0.35">
      <c r="A83" s="1">
        <v>1844086</v>
      </c>
      <c r="B83" s="1" t="s">
        <v>104</v>
      </c>
      <c r="C83" s="1">
        <v>53</v>
      </c>
      <c r="D83" s="1" t="s">
        <v>12</v>
      </c>
      <c r="E83" s="8">
        <v>44340</v>
      </c>
      <c r="F83" s="1">
        <v>721218</v>
      </c>
      <c r="G83" s="8">
        <v>44350</v>
      </c>
      <c r="H83" s="1">
        <v>712</v>
      </c>
      <c r="I83" s="9">
        <v>92445559</v>
      </c>
      <c r="J83" s="9">
        <v>72322417</v>
      </c>
      <c r="K83" s="1" t="s">
        <v>36</v>
      </c>
    </row>
    <row r="84" spans="1:11" x14ac:dyDescent="0.35">
      <c r="A84" s="1">
        <v>8367667</v>
      </c>
      <c r="B84" s="1" t="s">
        <v>105</v>
      </c>
      <c r="C84" s="1">
        <v>63</v>
      </c>
      <c r="D84" s="1" t="s">
        <v>12</v>
      </c>
      <c r="E84" s="8">
        <v>45190</v>
      </c>
      <c r="F84" s="1">
        <v>549381</v>
      </c>
      <c r="G84" s="8">
        <v>45200</v>
      </c>
      <c r="H84" s="1">
        <v>808</v>
      </c>
      <c r="I84" s="9">
        <v>83381153</v>
      </c>
      <c r="J84" s="9">
        <v>66089571</v>
      </c>
      <c r="K84" s="1" t="s">
        <v>36</v>
      </c>
    </row>
    <row r="85" spans="1:11" x14ac:dyDescent="0.35">
      <c r="A85" s="1">
        <v>4871181</v>
      </c>
      <c r="B85" s="1" t="s">
        <v>106</v>
      </c>
      <c r="C85" s="1">
        <v>19</v>
      </c>
      <c r="D85" s="1" t="s">
        <v>15</v>
      </c>
      <c r="E85" s="8">
        <v>45177</v>
      </c>
      <c r="F85" s="1">
        <v>722642</v>
      </c>
      <c r="G85" s="8">
        <v>45187</v>
      </c>
      <c r="H85" s="1">
        <v>413</v>
      </c>
      <c r="I85" s="9">
        <v>60919285</v>
      </c>
      <c r="J85" s="9">
        <v>89547268</v>
      </c>
      <c r="K85" s="1" t="s">
        <v>36</v>
      </c>
    </row>
    <row r="86" spans="1:11" x14ac:dyDescent="0.35">
      <c r="A86" s="1">
        <v>7207670</v>
      </c>
      <c r="B86" s="1" t="s">
        <v>107</v>
      </c>
      <c r="C86" s="1">
        <v>59</v>
      </c>
      <c r="D86" s="1" t="s">
        <v>15</v>
      </c>
      <c r="E86" s="8">
        <v>45120</v>
      </c>
      <c r="F86" s="1">
        <v>489609</v>
      </c>
      <c r="G86" s="8">
        <v>45130</v>
      </c>
      <c r="H86" s="1">
        <v>712</v>
      </c>
      <c r="I86" s="9">
        <v>59069653</v>
      </c>
      <c r="J86" s="9">
        <v>79142627</v>
      </c>
      <c r="K86" s="1" t="s">
        <v>36</v>
      </c>
    </row>
    <row r="87" spans="1:11" x14ac:dyDescent="0.35">
      <c r="A87" s="1">
        <v>6693300</v>
      </c>
      <c r="B87" s="1" t="s">
        <v>108</v>
      </c>
      <c r="C87" s="1">
        <v>48</v>
      </c>
      <c r="D87" s="1" t="s">
        <v>15</v>
      </c>
      <c r="E87" s="8">
        <v>45817</v>
      </c>
      <c r="F87" s="1">
        <v>276365</v>
      </c>
      <c r="G87" s="8">
        <v>45827</v>
      </c>
      <c r="H87" s="1">
        <v>808</v>
      </c>
      <c r="I87" s="9">
        <v>72676638</v>
      </c>
      <c r="J87" s="9">
        <v>83907733</v>
      </c>
      <c r="K87" s="1" t="s">
        <v>13</v>
      </c>
    </row>
    <row r="88" spans="1:11" x14ac:dyDescent="0.35">
      <c r="A88" s="1">
        <v>8726080</v>
      </c>
      <c r="B88" s="1" t="s">
        <v>109</v>
      </c>
      <c r="C88" s="1">
        <v>17</v>
      </c>
      <c r="D88" s="1" t="s">
        <v>15</v>
      </c>
      <c r="E88" s="8">
        <v>44773</v>
      </c>
      <c r="F88" s="1">
        <v>631995</v>
      </c>
      <c r="G88" s="8">
        <v>44783</v>
      </c>
      <c r="H88" s="1">
        <v>413</v>
      </c>
      <c r="I88" s="9">
        <v>50944921</v>
      </c>
      <c r="J88" s="9">
        <v>79879594</v>
      </c>
      <c r="K88" s="1" t="s">
        <v>13</v>
      </c>
    </row>
    <row r="89" spans="1:11" x14ac:dyDescent="0.35">
      <c r="A89" s="1">
        <v>8834464</v>
      </c>
      <c r="B89" s="1" t="s">
        <v>110</v>
      </c>
      <c r="C89" s="1">
        <v>60</v>
      </c>
      <c r="D89" s="1" t="s">
        <v>12</v>
      </c>
      <c r="E89" s="8">
        <v>44168</v>
      </c>
      <c r="F89" s="1">
        <v>291715</v>
      </c>
      <c r="G89" s="8">
        <v>44178</v>
      </c>
      <c r="H89" s="1">
        <v>712</v>
      </c>
      <c r="I89" s="9">
        <v>84920427</v>
      </c>
      <c r="J89" s="9">
        <v>63233452</v>
      </c>
      <c r="K89" s="1" t="s">
        <v>13</v>
      </c>
    </row>
    <row r="90" spans="1:11" x14ac:dyDescent="0.35">
      <c r="A90" s="1">
        <v>6653355</v>
      </c>
      <c r="B90" s="1" t="s">
        <v>111</v>
      </c>
      <c r="C90" s="1">
        <v>60</v>
      </c>
      <c r="D90" s="1" t="s">
        <v>12</v>
      </c>
      <c r="E90" s="8">
        <v>45081</v>
      </c>
      <c r="F90" s="1">
        <v>751966</v>
      </c>
      <c r="G90" s="8">
        <v>45091</v>
      </c>
      <c r="H90" s="1">
        <v>808</v>
      </c>
      <c r="I90" s="9">
        <v>59021708</v>
      </c>
      <c r="J90" s="9">
        <v>84813504</v>
      </c>
      <c r="K90" s="1" t="s">
        <v>13</v>
      </c>
    </row>
    <row r="91" spans="1:11" x14ac:dyDescent="0.35">
      <c r="A91" s="1">
        <v>4985295</v>
      </c>
      <c r="B91" s="1" t="s">
        <v>94</v>
      </c>
      <c r="C91" s="1">
        <v>16</v>
      </c>
      <c r="D91" s="1" t="s">
        <v>15</v>
      </c>
      <c r="E91" s="8">
        <v>43912</v>
      </c>
      <c r="F91" s="1">
        <v>540133</v>
      </c>
      <c r="G91" s="8">
        <v>43922</v>
      </c>
      <c r="H91" s="1">
        <v>413</v>
      </c>
      <c r="I91" s="9">
        <v>78560126</v>
      </c>
      <c r="J91" s="9">
        <v>63794701</v>
      </c>
      <c r="K91" s="1" t="s">
        <v>13</v>
      </c>
    </row>
    <row r="92" spans="1:11" x14ac:dyDescent="0.35">
      <c r="A92" s="1">
        <v>5797818</v>
      </c>
      <c r="B92" s="1" t="s">
        <v>63</v>
      </c>
      <c r="C92" s="1">
        <v>26</v>
      </c>
      <c r="D92" s="1" t="s">
        <v>12</v>
      </c>
      <c r="E92" s="8">
        <v>45300</v>
      </c>
      <c r="F92" s="1">
        <v>725048</v>
      </c>
      <c r="G92" s="8">
        <v>45310</v>
      </c>
      <c r="H92" s="1">
        <v>712</v>
      </c>
      <c r="I92" s="9">
        <v>96810125</v>
      </c>
      <c r="J92" s="9">
        <v>57079576</v>
      </c>
      <c r="K92" s="1" t="s">
        <v>13</v>
      </c>
    </row>
    <row r="93" spans="1:11" x14ac:dyDescent="0.35">
      <c r="A93" s="1">
        <v>4908716</v>
      </c>
      <c r="B93" s="1" t="s">
        <v>112</v>
      </c>
      <c r="C93" s="1">
        <v>20</v>
      </c>
      <c r="D93" s="1" t="s">
        <v>15</v>
      </c>
      <c r="E93" s="8">
        <v>45141</v>
      </c>
      <c r="F93" s="1">
        <v>289840</v>
      </c>
      <c r="G93" s="8">
        <v>45151</v>
      </c>
      <c r="H93" s="1">
        <v>621</v>
      </c>
      <c r="I93" s="9">
        <v>74399887</v>
      </c>
      <c r="J93" s="9">
        <v>67801482</v>
      </c>
      <c r="K93" s="1" t="s">
        <v>13</v>
      </c>
    </row>
    <row r="94" spans="1:11" x14ac:dyDescent="0.35">
      <c r="A94" s="1">
        <v>3001920</v>
      </c>
      <c r="B94" s="1" t="s">
        <v>113</v>
      </c>
      <c r="C94" s="1">
        <v>16</v>
      </c>
      <c r="D94" s="1" t="s">
        <v>12</v>
      </c>
      <c r="E94" s="8">
        <v>45086</v>
      </c>
      <c r="F94" s="1">
        <v>234505</v>
      </c>
      <c r="G94" s="8">
        <v>45096</v>
      </c>
      <c r="H94" s="1">
        <v>620</v>
      </c>
      <c r="I94" s="9">
        <v>66299284</v>
      </c>
      <c r="J94" s="9">
        <v>64243344</v>
      </c>
      <c r="K94" s="1" t="s">
        <v>13</v>
      </c>
    </row>
    <row r="95" spans="1:11" x14ac:dyDescent="0.35">
      <c r="A95" s="1">
        <v>8476976</v>
      </c>
      <c r="B95" s="1" t="s">
        <v>114</v>
      </c>
      <c r="C95" s="1">
        <v>58</v>
      </c>
      <c r="D95" s="1" t="s">
        <v>12</v>
      </c>
      <c r="E95" s="8">
        <v>44907</v>
      </c>
      <c r="F95" s="1">
        <v>492729</v>
      </c>
      <c r="G95" s="8">
        <v>44917</v>
      </c>
      <c r="H95" s="1">
        <v>521</v>
      </c>
      <c r="I95" s="9">
        <v>97731020</v>
      </c>
      <c r="J95" s="9">
        <v>55507301</v>
      </c>
      <c r="K95" s="1" t="s">
        <v>13</v>
      </c>
    </row>
    <row r="96" spans="1:11" x14ac:dyDescent="0.35">
      <c r="A96" s="1">
        <v>2200915</v>
      </c>
      <c r="B96" s="1" t="s">
        <v>115</v>
      </c>
      <c r="C96" s="1">
        <v>53</v>
      </c>
      <c r="D96" s="1" t="s">
        <v>15</v>
      </c>
      <c r="E96" s="8">
        <v>43888</v>
      </c>
      <c r="F96" s="1">
        <v>857126</v>
      </c>
      <c r="G96" s="8">
        <v>43898</v>
      </c>
      <c r="H96" s="1">
        <v>808</v>
      </c>
      <c r="I96" s="9">
        <v>56871376</v>
      </c>
      <c r="J96" s="9">
        <v>95002187</v>
      </c>
      <c r="K96" s="1" t="s">
        <v>13</v>
      </c>
    </row>
    <row r="97" spans="1:11" x14ac:dyDescent="0.35">
      <c r="A97" s="1">
        <v>8163195</v>
      </c>
      <c r="B97" s="1" t="s">
        <v>116</v>
      </c>
      <c r="C97" s="1">
        <v>24</v>
      </c>
      <c r="D97" s="1" t="s">
        <v>12</v>
      </c>
      <c r="E97" s="8">
        <v>44244</v>
      </c>
      <c r="F97" s="1">
        <v>661766</v>
      </c>
      <c r="G97" s="8">
        <v>44254</v>
      </c>
      <c r="H97" s="1">
        <v>413</v>
      </c>
      <c r="I97" s="9">
        <v>67245020</v>
      </c>
      <c r="J97" s="9">
        <v>87828369</v>
      </c>
      <c r="K97" s="1" t="s">
        <v>13</v>
      </c>
    </row>
    <row r="98" spans="1:11" x14ac:dyDescent="0.35">
      <c r="A98" s="1">
        <v>6714157</v>
      </c>
      <c r="B98" s="1" t="s">
        <v>117</v>
      </c>
      <c r="C98" s="1">
        <v>50</v>
      </c>
      <c r="D98" s="1" t="s">
        <v>15</v>
      </c>
      <c r="E98" s="8">
        <v>44333</v>
      </c>
      <c r="F98" s="1">
        <v>708265</v>
      </c>
      <c r="G98" s="8">
        <v>44343</v>
      </c>
      <c r="H98" s="1">
        <v>712</v>
      </c>
      <c r="I98" s="9">
        <v>89632824</v>
      </c>
      <c r="J98" s="9">
        <v>72095082</v>
      </c>
      <c r="K98" s="1" t="s">
        <v>13</v>
      </c>
    </row>
    <row r="99" spans="1:11" x14ac:dyDescent="0.35">
      <c r="A99" s="1">
        <v>3989170</v>
      </c>
      <c r="B99" s="1" t="s">
        <v>118</v>
      </c>
      <c r="C99" s="1">
        <v>48</v>
      </c>
      <c r="D99" s="1" t="s">
        <v>12</v>
      </c>
      <c r="E99" s="8">
        <v>45298</v>
      </c>
      <c r="F99" s="1">
        <v>529844</v>
      </c>
      <c r="G99" s="8">
        <v>45308</v>
      </c>
      <c r="H99" s="1">
        <v>621</v>
      </c>
      <c r="I99" s="9">
        <v>58073234</v>
      </c>
      <c r="J99" s="9">
        <v>50510168</v>
      </c>
      <c r="K99" s="1" t="s">
        <v>13</v>
      </c>
    </row>
    <row r="100" spans="1:11" x14ac:dyDescent="0.35">
      <c r="A100" s="1">
        <v>7119949</v>
      </c>
      <c r="B100" s="1" t="s">
        <v>119</v>
      </c>
      <c r="C100" s="1">
        <v>15</v>
      </c>
      <c r="D100" s="1" t="s">
        <v>12</v>
      </c>
      <c r="E100" s="8">
        <v>44144</v>
      </c>
      <c r="F100" s="1">
        <v>837637</v>
      </c>
      <c r="G100" s="8">
        <v>44154</v>
      </c>
      <c r="H100" s="1">
        <v>620</v>
      </c>
      <c r="I100" s="9">
        <v>85236303</v>
      </c>
      <c r="J100" s="9">
        <v>80285402</v>
      </c>
      <c r="K100" s="1" t="s">
        <v>13</v>
      </c>
    </row>
    <row r="101" spans="1:11" x14ac:dyDescent="0.35">
      <c r="A101" s="1">
        <v>1662297</v>
      </c>
      <c r="B101" s="1" t="s">
        <v>120</v>
      </c>
      <c r="C101" s="1">
        <v>23</v>
      </c>
      <c r="D101" s="1" t="s">
        <v>12</v>
      </c>
      <c r="E101" s="8">
        <v>45234</v>
      </c>
      <c r="F101" s="1">
        <v>881580</v>
      </c>
      <c r="G101" s="8">
        <v>45244</v>
      </c>
      <c r="H101" s="1">
        <v>521</v>
      </c>
      <c r="I101" s="9">
        <v>81061561</v>
      </c>
      <c r="J101" s="9">
        <v>76107320</v>
      </c>
      <c r="K101" s="1" t="s">
        <v>16</v>
      </c>
    </row>
    <row r="102" spans="1:11" x14ac:dyDescent="0.35">
      <c r="A102" s="1">
        <v>1173603</v>
      </c>
      <c r="B102" s="1" t="s">
        <v>121</v>
      </c>
      <c r="C102" s="1">
        <v>30</v>
      </c>
      <c r="D102" s="1" t="s">
        <v>12</v>
      </c>
      <c r="E102" s="8">
        <v>45878</v>
      </c>
      <c r="F102" s="1">
        <v>614331</v>
      </c>
      <c r="G102" s="8">
        <v>45888</v>
      </c>
      <c r="H102" s="1">
        <v>808</v>
      </c>
      <c r="I102" s="9">
        <v>96772327</v>
      </c>
      <c r="J102" s="9">
        <v>77560381</v>
      </c>
      <c r="K102" s="1" t="s">
        <v>16</v>
      </c>
    </row>
    <row r="103" spans="1:11" x14ac:dyDescent="0.35">
      <c r="A103" s="1">
        <v>5267253</v>
      </c>
      <c r="B103" s="1" t="s">
        <v>122</v>
      </c>
      <c r="C103" s="1">
        <v>57</v>
      </c>
      <c r="D103" s="1" t="s">
        <v>15</v>
      </c>
      <c r="E103" s="8">
        <v>44545</v>
      </c>
      <c r="F103" s="1">
        <v>600005</v>
      </c>
      <c r="G103" s="8">
        <v>44555</v>
      </c>
      <c r="H103" s="1">
        <v>413</v>
      </c>
      <c r="I103" s="9">
        <v>59469562</v>
      </c>
      <c r="J103" s="9">
        <v>74906911</v>
      </c>
      <c r="K103" s="1" t="s">
        <v>16</v>
      </c>
    </row>
    <row r="104" spans="1:11" x14ac:dyDescent="0.35">
      <c r="A104" s="1">
        <v>2654440</v>
      </c>
      <c r="B104" s="1" t="s">
        <v>123</v>
      </c>
      <c r="C104" s="1">
        <v>24</v>
      </c>
      <c r="D104" s="1" t="s">
        <v>15</v>
      </c>
      <c r="E104" s="8">
        <v>44322</v>
      </c>
      <c r="F104" s="1">
        <v>653981</v>
      </c>
      <c r="G104" s="8">
        <v>44332</v>
      </c>
      <c r="H104" s="1">
        <v>712</v>
      </c>
      <c r="I104" s="9">
        <v>51068607</v>
      </c>
      <c r="J104" s="9">
        <v>59842838</v>
      </c>
      <c r="K104" s="1" t="s">
        <v>16</v>
      </c>
    </row>
    <row r="105" spans="1:11" x14ac:dyDescent="0.35">
      <c r="A105" s="1">
        <v>1813196</v>
      </c>
      <c r="B105" s="1" t="s">
        <v>124</v>
      </c>
      <c r="C105" s="1">
        <v>56</v>
      </c>
      <c r="D105" s="1" t="s">
        <v>12</v>
      </c>
      <c r="E105" s="8">
        <v>44500</v>
      </c>
      <c r="F105" s="1">
        <v>557397</v>
      </c>
      <c r="G105" s="8">
        <v>44510</v>
      </c>
      <c r="H105" s="1">
        <v>621</v>
      </c>
      <c r="I105" s="9">
        <v>75836407</v>
      </c>
      <c r="J105" s="9">
        <v>69305896</v>
      </c>
      <c r="K105" s="1" t="s">
        <v>16</v>
      </c>
    </row>
    <row r="106" spans="1:11" x14ac:dyDescent="0.35">
      <c r="A106" s="1">
        <v>8239097</v>
      </c>
      <c r="B106" s="1" t="s">
        <v>125</v>
      </c>
      <c r="C106" s="1">
        <v>42</v>
      </c>
      <c r="D106" s="1" t="s">
        <v>15</v>
      </c>
      <c r="E106" s="8">
        <v>44945</v>
      </c>
      <c r="F106" s="1">
        <v>388879</v>
      </c>
      <c r="G106" s="8">
        <v>44955</v>
      </c>
      <c r="H106" s="1">
        <v>620</v>
      </c>
      <c r="I106" s="9">
        <v>80858468</v>
      </c>
      <c r="J106" s="9">
        <v>75400219</v>
      </c>
      <c r="K106" s="1" t="s">
        <v>16</v>
      </c>
    </row>
    <row r="107" spans="1:11" x14ac:dyDescent="0.35">
      <c r="A107" s="1">
        <v>7262729</v>
      </c>
      <c r="B107" s="1" t="s">
        <v>126</v>
      </c>
      <c r="C107" s="1">
        <v>27</v>
      </c>
      <c r="D107" s="1" t="s">
        <v>12</v>
      </c>
      <c r="E107" s="8">
        <v>45246</v>
      </c>
      <c r="F107" s="1">
        <v>389922</v>
      </c>
      <c r="G107" s="8">
        <v>45256</v>
      </c>
      <c r="H107" s="1">
        <v>521</v>
      </c>
      <c r="I107" s="9">
        <v>93736628</v>
      </c>
      <c r="J107" s="9">
        <v>81459932</v>
      </c>
      <c r="K107" s="1" t="s">
        <v>16</v>
      </c>
    </row>
    <row r="108" spans="1:11" x14ac:dyDescent="0.35">
      <c r="A108" s="1">
        <v>6622851</v>
      </c>
      <c r="B108" s="1" t="s">
        <v>127</v>
      </c>
      <c r="C108" s="1">
        <v>33</v>
      </c>
      <c r="D108" s="1" t="s">
        <v>12</v>
      </c>
      <c r="E108" s="8">
        <v>45786</v>
      </c>
      <c r="F108" s="1">
        <v>363971</v>
      </c>
      <c r="G108" s="8">
        <v>45796</v>
      </c>
      <c r="H108" s="1">
        <v>808</v>
      </c>
      <c r="I108" s="9">
        <v>68609164</v>
      </c>
      <c r="J108" s="9">
        <v>79167284</v>
      </c>
      <c r="K108" s="1" t="s">
        <v>13</v>
      </c>
    </row>
    <row r="109" spans="1:11" x14ac:dyDescent="0.35">
      <c r="A109" s="1">
        <v>6854483</v>
      </c>
      <c r="B109" s="1" t="s">
        <v>128</v>
      </c>
      <c r="C109" s="1">
        <v>51</v>
      </c>
      <c r="D109" s="1" t="s">
        <v>15</v>
      </c>
      <c r="E109" s="8">
        <v>44473</v>
      </c>
      <c r="F109" s="1">
        <v>820793</v>
      </c>
      <c r="G109" s="8">
        <v>44483</v>
      </c>
      <c r="H109" s="1">
        <v>413</v>
      </c>
      <c r="I109" s="9">
        <v>59178380</v>
      </c>
      <c r="J109" s="9">
        <v>82309255</v>
      </c>
      <c r="K109" s="1" t="s">
        <v>16</v>
      </c>
    </row>
    <row r="110" spans="1:11" x14ac:dyDescent="0.35">
      <c r="A110" s="1">
        <v>6762655</v>
      </c>
      <c r="B110" s="1" t="s">
        <v>129</v>
      </c>
      <c r="C110" s="1">
        <v>18</v>
      </c>
      <c r="D110" s="1" t="s">
        <v>15</v>
      </c>
      <c r="E110" s="8">
        <v>44659</v>
      </c>
      <c r="F110" s="1">
        <v>381752</v>
      </c>
      <c r="G110" s="8">
        <v>44669</v>
      </c>
      <c r="H110" s="1">
        <v>712</v>
      </c>
      <c r="I110" s="9">
        <v>53098711</v>
      </c>
      <c r="J110" s="9">
        <v>68598271</v>
      </c>
      <c r="K110" s="1" t="s">
        <v>18</v>
      </c>
    </row>
    <row r="111" spans="1:11" x14ac:dyDescent="0.35">
      <c r="A111" s="1">
        <v>7046122</v>
      </c>
      <c r="B111" s="1" t="s">
        <v>130</v>
      </c>
      <c r="C111" s="1">
        <v>44</v>
      </c>
      <c r="D111" s="1" t="s">
        <v>15</v>
      </c>
      <c r="E111" s="8">
        <v>43933</v>
      </c>
      <c r="F111" s="1">
        <v>404794</v>
      </c>
      <c r="G111" s="8">
        <v>43943</v>
      </c>
      <c r="H111" s="1">
        <v>621</v>
      </c>
      <c r="I111" s="9">
        <v>81536259</v>
      </c>
      <c r="J111" s="9">
        <v>71476429</v>
      </c>
      <c r="K111" s="1" t="s">
        <v>20</v>
      </c>
    </row>
    <row r="112" spans="1:11" x14ac:dyDescent="0.35">
      <c r="A112" s="1">
        <v>3796518</v>
      </c>
      <c r="B112" s="1" t="s">
        <v>131</v>
      </c>
      <c r="C112" s="1">
        <v>58</v>
      </c>
      <c r="D112" s="1" t="s">
        <v>15</v>
      </c>
      <c r="E112" s="8">
        <v>45658</v>
      </c>
      <c r="F112" s="1">
        <v>851145</v>
      </c>
      <c r="G112" s="8">
        <v>45668</v>
      </c>
      <c r="H112" s="1">
        <v>620</v>
      </c>
      <c r="I112" s="9">
        <v>95550495</v>
      </c>
      <c r="J112" s="9">
        <v>55717197</v>
      </c>
      <c r="K112" s="1" t="s">
        <v>22</v>
      </c>
    </row>
    <row r="113" spans="1:11" x14ac:dyDescent="0.35">
      <c r="A113" s="1">
        <v>6174669</v>
      </c>
      <c r="B113" s="1" t="s">
        <v>132</v>
      </c>
      <c r="C113" s="1">
        <v>24</v>
      </c>
      <c r="D113" s="1" t="s">
        <v>15</v>
      </c>
      <c r="E113" s="8">
        <v>44726</v>
      </c>
      <c r="F113" s="1">
        <v>399229</v>
      </c>
      <c r="G113" s="8">
        <v>44736</v>
      </c>
      <c r="H113" s="1">
        <v>521</v>
      </c>
      <c r="I113" s="9">
        <v>98558122</v>
      </c>
      <c r="J113" s="9">
        <v>97437223</v>
      </c>
      <c r="K113" s="1" t="s">
        <v>24</v>
      </c>
    </row>
    <row r="114" spans="1:11" x14ac:dyDescent="0.35">
      <c r="A114" s="1">
        <v>6102743</v>
      </c>
      <c r="B114" s="1" t="s">
        <v>97</v>
      </c>
      <c r="C114" s="1">
        <v>38</v>
      </c>
      <c r="D114" s="1" t="s">
        <v>12</v>
      </c>
      <c r="E114" s="8">
        <v>45330</v>
      </c>
      <c r="F114" s="1">
        <v>471812</v>
      </c>
      <c r="G114" s="8">
        <v>45340</v>
      </c>
      <c r="H114" s="1">
        <v>808</v>
      </c>
      <c r="I114" s="9">
        <v>95853457</v>
      </c>
      <c r="J114" s="9">
        <v>59422957</v>
      </c>
      <c r="K114" s="1" t="s">
        <v>26</v>
      </c>
    </row>
    <row r="115" spans="1:11" x14ac:dyDescent="0.35">
      <c r="A115" s="1">
        <v>1285551</v>
      </c>
      <c r="B115" s="1" t="s">
        <v>133</v>
      </c>
      <c r="C115" s="1">
        <v>49</v>
      </c>
      <c r="D115" s="1" t="s">
        <v>15</v>
      </c>
      <c r="E115" s="8">
        <v>43998</v>
      </c>
      <c r="F115" s="1">
        <v>527640</v>
      </c>
      <c r="G115" s="8">
        <v>44008</v>
      </c>
      <c r="H115" s="1">
        <v>413</v>
      </c>
      <c r="I115" s="9">
        <v>50951439</v>
      </c>
      <c r="J115" s="9">
        <v>64389159</v>
      </c>
      <c r="K115" s="1" t="s">
        <v>28</v>
      </c>
    </row>
    <row r="116" spans="1:11" x14ac:dyDescent="0.35">
      <c r="A116" s="1">
        <v>3891330</v>
      </c>
      <c r="B116" s="1" t="s">
        <v>134</v>
      </c>
      <c r="C116" s="1">
        <v>41</v>
      </c>
      <c r="D116" s="1" t="s">
        <v>12</v>
      </c>
      <c r="E116" s="8">
        <v>44279</v>
      </c>
      <c r="F116" s="1">
        <v>662376</v>
      </c>
      <c r="G116" s="8">
        <v>44289</v>
      </c>
      <c r="H116" s="1">
        <v>712</v>
      </c>
      <c r="I116" s="9">
        <v>82154934</v>
      </c>
      <c r="J116" s="9">
        <v>80921959</v>
      </c>
      <c r="K116" s="1" t="s">
        <v>30</v>
      </c>
    </row>
    <row r="117" spans="1:11" x14ac:dyDescent="0.35">
      <c r="A117" s="1">
        <v>2488189</v>
      </c>
      <c r="B117" s="1" t="s">
        <v>135</v>
      </c>
      <c r="C117" s="1">
        <v>40</v>
      </c>
      <c r="D117" s="1" t="s">
        <v>12</v>
      </c>
      <c r="E117" s="8">
        <v>44635</v>
      </c>
      <c r="F117" s="1">
        <v>393515</v>
      </c>
      <c r="G117" s="8">
        <v>44645</v>
      </c>
      <c r="H117" s="1">
        <v>620</v>
      </c>
      <c r="I117" s="9">
        <v>89217015</v>
      </c>
      <c r="J117" s="9">
        <v>93375815</v>
      </c>
      <c r="K117" s="1" t="s">
        <v>32</v>
      </c>
    </row>
    <row r="118" spans="1:11" x14ac:dyDescent="0.35">
      <c r="A118" s="1">
        <v>1611608</v>
      </c>
      <c r="B118" s="1" t="s">
        <v>136</v>
      </c>
      <c r="C118" s="1">
        <v>16</v>
      </c>
      <c r="D118" s="1" t="s">
        <v>15</v>
      </c>
      <c r="E118" s="8">
        <v>45855</v>
      </c>
      <c r="F118" s="1">
        <v>500089</v>
      </c>
      <c r="G118" s="8">
        <v>45865</v>
      </c>
      <c r="H118" s="1">
        <v>620</v>
      </c>
      <c r="I118" s="9">
        <v>53104546</v>
      </c>
      <c r="J118" s="9">
        <v>78072818</v>
      </c>
      <c r="K118" s="1" t="s">
        <v>34</v>
      </c>
    </row>
    <row r="119" spans="1:11" x14ac:dyDescent="0.35">
      <c r="A119" s="1">
        <v>3799751</v>
      </c>
      <c r="B119" s="1" t="s">
        <v>137</v>
      </c>
      <c r="C119" s="1">
        <v>49</v>
      </c>
      <c r="D119" s="1" t="s">
        <v>15</v>
      </c>
      <c r="E119" s="8">
        <v>43969</v>
      </c>
      <c r="F119" s="1">
        <v>498185</v>
      </c>
      <c r="G119" s="8">
        <v>43979</v>
      </c>
      <c r="H119" s="1">
        <v>620</v>
      </c>
      <c r="I119" s="9">
        <v>56936745</v>
      </c>
      <c r="J119" s="9">
        <v>61156110</v>
      </c>
      <c r="K119" s="1" t="s">
        <v>36</v>
      </c>
    </row>
    <row r="120" spans="1:11" x14ac:dyDescent="0.35">
      <c r="A120" s="1">
        <v>3246664</v>
      </c>
      <c r="B120" s="1" t="s">
        <v>138</v>
      </c>
      <c r="C120" s="1">
        <v>49</v>
      </c>
      <c r="D120" s="1" t="s">
        <v>12</v>
      </c>
      <c r="E120" s="8">
        <v>44482</v>
      </c>
      <c r="F120" s="1">
        <v>800651</v>
      </c>
      <c r="G120" s="8">
        <v>44492</v>
      </c>
      <c r="H120" s="1">
        <v>620</v>
      </c>
      <c r="I120" s="9">
        <v>63392176</v>
      </c>
      <c r="J120" s="9">
        <v>86264970</v>
      </c>
      <c r="K120" s="1" t="s">
        <v>18</v>
      </c>
    </row>
    <row r="121" spans="1:11" x14ac:dyDescent="0.35">
      <c r="A121" s="1">
        <v>5819531</v>
      </c>
      <c r="B121" s="1" t="s">
        <v>139</v>
      </c>
      <c r="C121" s="1">
        <v>17</v>
      </c>
      <c r="D121" s="1" t="s">
        <v>15</v>
      </c>
      <c r="E121" s="8">
        <v>45456</v>
      </c>
      <c r="F121" s="1">
        <v>539454</v>
      </c>
      <c r="G121" s="8">
        <v>45466</v>
      </c>
      <c r="H121" s="1">
        <v>620</v>
      </c>
      <c r="I121" s="9">
        <v>98556919</v>
      </c>
      <c r="J121" s="9">
        <v>82408944</v>
      </c>
      <c r="K121" s="1" t="s">
        <v>20</v>
      </c>
    </row>
    <row r="122" spans="1:11" x14ac:dyDescent="0.35">
      <c r="A122" s="1">
        <v>2287021</v>
      </c>
      <c r="B122" s="1" t="s">
        <v>11</v>
      </c>
      <c r="C122" s="1">
        <v>35</v>
      </c>
      <c r="D122" s="1" t="s">
        <v>12</v>
      </c>
      <c r="E122" s="8">
        <v>44337</v>
      </c>
      <c r="F122" s="1">
        <v>445036</v>
      </c>
      <c r="G122" s="8">
        <v>44347</v>
      </c>
      <c r="H122" s="1">
        <v>621</v>
      </c>
      <c r="I122" s="9">
        <v>2348116</v>
      </c>
      <c r="J122" s="9">
        <v>8955367</v>
      </c>
      <c r="K122" s="1" t="s">
        <v>13</v>
      </c>
    </row>
    <row r="123" spans="1:11" x14ac:dyDescent="0.35">
      <c r="A123" s="1">
        <v>3684345</v>
      </c>
      <c r="B123" s="1" t="s">
        <v>14</v>
      </c>
      <c r="C123" s="1">
        <v>29</v>
      </c>
      <c r="D123" s="1" t="s">
        <v>15</v>
      </c>
      <c r="E123" s="8">
        <v>45782</v>
      </c>
      <c r="F123" s="1">
        <v>690376</v>
      </c>
      <c r="G123" s="8">
        <v>45792</v>
      </c>
      <c r="H123" s="1">
        <v>620</v>
      </c>
      <c r="I123" s="9">
        <v>4632122</v>
      </c>
      <c r="J123" s="9">
        <v>6250736</v>
      </c>
      <c r="K123" s="1" t="s">
        <v>16</v>
      </c>
    </row>
    <row r="124" spans="1:11" x14ac:dyDescent="0.35">
      <c r="A124" s="1">
        <v>6507231</v>
      </c>
      <c r="B124" s="1" t="s">
        <v>17</v>
      </c>
      <c r="C124" s="1">
        <v>37</v>
      </c>
      <c r="D124" s="1" t="s">
        <v>12</v>
      </c>
      <c r="E124" s="8">
        <v>44761</v>
      </c>
      <c r="F124" s="1">
        <v>726795</v>
      </c>
      <c r="G124" s="8">
        <v>44771</v>
      </c>
      <c r="H124" s="1">
        <v>521</v>
      </c>
      <c r="I124" s="9">
        <v>4676007</v>
      </c>
      <c r="J124" s="9">
        <v>6844373</v>
      </c>
      <c r="K124" s="1" t="s">
        <v>18</v>
      </c>
    </row>
    <row r="125" spans="1:11" x14ac:dyDescent="0.35">
      <c r="A125" s="1">
        <v>2306909</v>
      </c>
      <c r="B125" s="1" t="s">
        <v>19</v>
      </c>
      <c r="C125" s="1">
        <v>25</v>
      </c>
      <c r="D125" s="1" t="s">
        <v>12</v>
      </c>
      <c r="E125" s="8">
        <v>45643</v>
      </c>
      <c r="F125" s="1">
        <v>471359</v>
      </c>
      <c r="G125" s="8">
        <v>45653</v>
      </c>
      <c r="H125" s="1">
        <v>808</v>
      </c>
      <c r="I125" s="9">
        <v>5717876</v>
      </c>
      <c r="J125" s="9">
        <v>8325624</v>
      </c>
      <c r="K125" s="1" t="s">
        <v>20</v>
      </c>
    </row>
    <row r="126" spans="1:11" x14ac:dyDescent="0.35">
      <c r="A126" s="1">
        <v>6713678</v>
      </c>
      <c r="B126" s="1" t="s">
        <v>21</v>
      </c>
      <c r="C126" s="1">
        <v>29</v>
      </c>
      <c r="D126" s="1" t="s">
        <v>12</v>
      </c>
      <c r="E126" s="8">
        <v>44631</v>
      </c>
      <c r="F126" s="1">
        <v>222391</v>
      </c>
      <c r="G126" s="8">
        <v>44641</v>
      </c>
      <c r="H126" s="1">
        <v>413</v>
      </c>
      <c r="I126" s="9">
        <v>2158895</v>
      </c>
      <c r="J126" s="9">
        <v>8347943</v>
      </c>
      <c r="K126" s="1" t="s">
        <v>22</v>
      </c>
    </row>
    <row r="127" spans="1:11" x14ac:dyDescent="0.35">
      <c r="A127" s="1">
        <v>3477250</v>
      </c>
      <c r="B127" s="1" t="s">
        <v>23</v>
      </c>
      <c r="C127" s="1">
        <v>45</v>
      </c>
      <c r="D127" s="1" t="s">
        <v>12</v>
      </c>
      <c r="E127" s="8">
        <v>44992</v>
      </c>
      <c r="F127" s="1">
        <v>784959</v>
      </c>
      <c r="G127" s="8">
        <v>45002</v>
      </c>
      <c r="H127" s="1">
        <v>712</v>
      </c>
      <c r="I127" s="9">
        <v>2203171</v>
      </c>
      <c r="J127" s="9">
        <v>5618396</v>
      </c>
      <c r="K127" s="1" t="s">
        <v>24</v>
      </c>
    </row>
    <row r="128" spans="1:11" x14ac:dyDescent="0.35">
      <c r="A128" s="1">
        <v>2446706</v>
      </c>
      <c r="B128" s="1" t="s">
        <v>25</v>
      </c>
      <c r="C128" s="1">
        <v>55</v>
      </c>
      <c r="D128" s="1" t="s">
        <v>12</v>
      </c>
      <c r="E128" s="8">
        <v>44196</v>
      </c>
      <c r="F128" s="1">
        <v>670347</v>
      </c>
      <c r="G128" s="8">
        <v>44206</v>
      </c>
      <c r="H128" s="1">
        <v>621</v>
      </c>
      <c r="I128" s="9">
        <v>3722178</v>
      </c>
      <c r="J128" s="9">
        <v>6563564</v>
      </c>
      <c r="K128" s="1" t="s">
        <v>26</v>
      </c>
    </row>
    <row r="129" spans="1:11" x14ac:dyDescent="0.35">
      <c r="A129" s="1">
        <v>8882904</v>
      </c>
      <c r="B129" s="1" t="s">
        <v>27</v>
      </c>
      <c r="C129" s="1">
        <v>20</v>
      </c>
      <c r="D129" s="1" t="s">
        <v>12</v>
      </c>
      <c r="E129" s="8">
        <v>44554</v>
      </c>
      <c r="F129" s="1">
        <v>992697</v>
      </c>
      <c r="G129" s="8">
        <v>44564</v>
      </c>
      <c r="H129" s="1">
        <v>620</v>
      </c>
      <c r="I129" s="9">
        <v>2173515</v>
      </c>
      <c r="J129" s="9">
        <v>5182322</v>
      </c>
      <c r="K129" s="1" t="s">
        <v>28</v>
      </c>
    </row>
    <row r="130" spans="1:11" x14ac:dyDescent="0.35">
      <c r="A130" s="1">
        <v>2985075</v>
      </c>
      <c r="B130" s="1" t="s">
        <v>29</v>
      </c>
      <c r="C130" s="1">
        <v>64</v>
      </c>
      <c r="D130" s="1" t="s">
        <v>12</v>
      </c>
      <c r="E130" s="8">
        <v>45077</v>
      </c>
      <c r="F130" s="1">
        <v>855807</v>
      </c>
      <c r="G130" s="8">
        <v>45087</v>
      </c>
      <c r="H130" s="1">
        <v>521</v>
      </c>
      <c r="I130" s="9">
        <v>5867720</v>
      </c>
      <c r="J130" s="9">
        <v>7688655</v>
      </c>
      <c r="K130" s="1" t="s">
        <v>30</v>
      </c>
    </row>
    <row r="131" spans="1:11" x14ac:dyDescent="0.35">
      <c r="A131" s="1">
        <v>3365113</v>
      </c>
      <c r="B131" s="1" t="s">
        <v>31</v>
      </c>
      <c r="C131" s="1">
        <v>31</v>
      </c>
      <c r="D131" s="1" t="s">
        <v>12</v>
      </c>
      <c r="E131" s="8">
        <v>43874</v>
      </c>
      <c r="F131" s="1">
        <v>782420</v>
      </c>
      <c r="G131" s="8">
        <v>43884</v>
      </c>
      <c r="H131" s="1">
        <v>808</v>
      </c>
      <c r="I131" s="9">
        <v>7629989</v>
      </c>
      <c r="J131" s="9">
        <v>6784112</v>
      </c>
      <c r="K131" s="1" t="s">
        <v>32</v>
      </c>
    </row>
    <row r="132" spans="1:11" x14ac:dyDescent="0.35">
      <c r="A132" s="1">
        <v>8369052</v>
      </c>
      <c r="B132" s="1" t="s">
        <v>33</v>
      </c>
      <c r="C132" s="1">
        <v>28</v>
      </c>
      <c r="D132" s="1" t="s">
        <v>15</v>
      </c>
      <c r="E132" s="8">
        <v>44883</v>
      </c>
      <c r="F132" s="1">
        <v>800474</v>
      </c>
      <c r="G132" s="8">
        <v>44893</v>
      </c>
      <c r="H132" s="1">
        <v>413</v>
      </c>
      <c r="I132" s="9">
        <v>18287346</v>
      </c>
      <c r="J132" s="9">
        <v>20678701</v>
      </c>
      <c r="K132" s="1" t="s">
        <v>34</v>
      </c>
    </row>
    <row r="133" spans="1:11" x14ac:dyDescent="0.35">
      <c r="A133" s="1">
        <v>2918715</v>
      </c>
      <c r="B133" s="1" t="s">
        <v>35</v>
      </c>
      <c r="C133" s="1">
        <v>47</v>
      </c>
      <c r="D133" s="1" t="s">
        <v>15</v>
      </c>
      <c r="E133" s="8">
        <v>45068</v>
      </c>
      <c r="F133" s="1">
        <v>607697</v>
      </c>
      <c r="G133" s="8">
        <v>45078</v>
      </c>
      <c r="H133" s="1">
        <v>712</v>
      </c>
      <c r="I133" s="9">
        <v>6355438</v>
      </c>
      <c r="J133" s="9">
        <v>11137340</v>
      </c>
      <c r="K133" s="1" t="s">
        <v>36</v>
      </c>
    </row>
    <row r="134" spans="1:11" x14ac:dyDescent="0.35">
      <c r="A134" s="1">
        <v>4849083</v>
      </c>
      <c r="B134" s="1" t="s">
        <v>37</v>
      </c>
      <c r="C134" s="1">
        <v>16</v>
      </c>
      <c r="D134" s="1" t="s">
        <v>12</v>
      </c>
      <c r="E134" s="8">
        <v>44436</v>
      </c>
      <c r="F134" s="1">
        <v>695274</v>
      </c>
      <c r="G134" s="8">
        <v>44446</v>
      </c>
      <c r="H134" s="1">
        <v>621</v>
      </c>
      <c r="I134" s="9">
        <v>9144128</v>
      </c>
      <c r="J134" s="9">
        <v>23156763</v>
      </c>
      <c r="K134" s="1" t="s">
        <v>18</v>
      </c>
    </row>
    <row r="135" spans="1:11" x14ac:dyDescent="0.35">
      <c r="A135" s="1">
        <v>5113873</v>
      </c>
      <c r="B135" s="1" t="s">
        <v>38</v>
      </c>
      <c r="C135" s="1">
        <v>22</v>
      </c>
      <c r="D135" s="1" t="s">
        <v>12</v>
      </c>
      <c r="E135" s="8">
        <v>45700</v>
      </c>
      <c r="F135" s="1">
        <v>383843</v>
      </c>
      <c r="G135" s="8">
        <v>45710</v>
      </c>
      <c r="H135" s="1">
        <v>620</v>
      </c>
      <c r="I135" s="9">
        <v>14876013</v>
      </c>
      <c r="J135" s="9">
        <v>5558765</v>
      </c>
      <c r="K135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BE23-BA12-4EB8-AE95-026BCDD64B68}">
  <dimension ref="A1:W135"/>
  <sheetViews>
    <sheetView tabSelected="1" zoomScaleNormal="100" workbookViewId="0">
      <selection activeCell="E129" sqref="E129"/>
    </sheetView>
  </sheetViews>
  <sheetFormatPr defaultRowHeight="14.5" x14ac:dyDescent="0.35"/>
  <cols>
    <col min="1" max="1" width="7.81640625" bestFit="1" customWidth="1"/>
    <col min="2" max="2" width="15.26953125" bestFit="1" customWidth="1"/>
    <col min="3" max="3" width="4.453125" customWidth="1"/>
    <col min="4" max="4" width="11.6328125" customWidth="1"/>
    <col min="5" max="5" width="13.08984375" customWidth="1"/>
    <col min="6" max="6" width="11.1796875" customWidth="1"/>
    <col min="7" max="7" width="13.90625" customWidth="1"/>
    <col min="8" max="8" width="12.26953125" customWidth="1"/>
    <col min="9" max="10" width="13.81640625" customWidth="1"/>
    <col min="11" max="11" width="6.36328125" customWidth="1"/>
    <col min="12" max="13" width="17.7265625" customWidth="1"/>
    <col min="14" max="16" width="17.7265625" style="10" customWidth="1"/>
    <col min="17" max="18" width="3" customWidth="1"/>
    <col min="19" max="23" width="11.81640625" customWidth="1"/>
  </cols>
  <sheetData>
    <row r="1" spans="1:23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140</v>
      </c>
      <c r="M1" s="7" t="s">
        <v>141</v>
      </c>
      <c r="N1" s="7" t="s">
        <v>142</v>
      </c>
      <c r="O1" s="7" t="s">
        <v>143</v>
      </c>
      <c r="P1" s="7" t="s">
        <v>184</v>
      </c>
    </row>
    <row r="2" spans="1:23" x14ac:dyDescent="0.35">
      <c r="A2" s="1">
        <v>2287021</v>
      </c>
      <c r="B2" s="1" t="str">
        <f>TRIM('Raw Dataset'!B2)</f>
        <v>Budi Kusuma</v>
      </c>
      <c r="C2" s="1">
        <v>35</v>
      </c>
      <c r="D2" s="1" t="s">
        <v>12</v>
      </c>
      <c r="E2" s="8">
        <v>44337</v>
      </c>
      <c r="F2" s="1">
        <v>445036</v>
      </c>
      <c r="G2" s="8">
        <v>44347</v>
      </c>
      <c r="H2" s="1">
        <v>621</v>
      </c>
      <c r="I2" s="9">
        <v>2348116</v>
      </c>
      <c r="J2" s="9">
        <v>8955367</v>
      </c>
      <c r="K2" s="1" t="s">
        <v>13</v>
      </c>
      <c r="L2" s="1" t="str">
        <f>_xlfn.XLOOKUP(K2,Lookup!$G$4:$G$15,Lookup!$F$4:$F$15,"Unmapping",0,1)</f>
        <v>Jawa Barat</v>
      </c>
      <c r="M2" s="1" t="str">
        <f>VLOOKUP(H2,Lookup!$C$4:$D$9,2,0)</f>
        <v>Tab Hajj</v>
      </c>
      <c r="N2" s="6" t="str">
        <f>IF(I2&lt;10000000,"Mass Market",IF(I2&lt;=50000000,"Optimal","Privilage"))</f>
        <v>Mass Market</v>
      </c>
      <c r="O2" s="6" t="str" cm="1">
        <f t="array" ref="O2">_xlfn.IFS(C2&lt;=25,"Grade C",C2&lt;=35,"Grade A",C2&lt;=55,"Grade B",C2&gt;55,"Grade D")</f>
        <v>Grade A</v>
      </c>
      <c r="P2" s="6" t="str">
        <f>INDEX($T$13:$W$15,MATCH(N2,$S$13:$S$15,0),MATCH(O2,$T$12:$W$12,0))</f>
        <v>Low</v>
      </c>
    </row>
    <row r="3" spans="1:23" x14ac:dyDescent="0.35">
      <c r="A3" s="1">
        <v>3684345</v>
      </c>
      <c r="B3" s="1" t="str">
        <f>TRIM('Raw Dataset'!B3)</f>
        <v>Wulan Wibowo</v>
      </c>
      <c r="C3" s="1">
        <v>29</v>
      </c>
      <c r="D3" s="1" t="s">
        <v>15</v>
      </c>
      <c r="E3" s="8">
        <v>45782</v>
      </c>
      <c r="F3" s="1">
        <v>690376</v>
      </c>
      <c r="G3" s="8">
        <v>45792</v>
      </c>
      <c r="H3" s="1">
        <v>620</v>
      </c>
      <c r="I3" s="9">
        <v>4632122</v>
      </c>
      <c r="J3" s="9">
        <v>6250736</v>
      </c>
      <c r="K3" s="1" t="s">
        <v>16</v>
      </c>
      <c r="L3" s="1" t="str">
        <f>_xlfn.XLOOKUP(K3,Lookup!$G$4:$G$15,Lookup!$F$4:$F$15,"Unmapping",0,1)</f>
        <v>Sumatera Selatan</v>
      </c>
      <c r="M3" s="1" t="str">
        <f>VLOOKUP(H3,Lookup!$C$4:$D$9,2,0)</f>
        <v>Wadiah</v>
      </c>
      <c r="N3" s="6" t="str">
        <f t="shared" ref="N3:N66" si="0">IF(I3&lt;10000000,"Mass Market",IF(I3&lt;=50000000,"Optimal","Privilage"))</f>
        <v>Mass Market</v>
      </c>
      <c r="O3" s="6" t="str" cm="1">
        <f t="array" ref="O3">_xlfn.IFS(C3&lt;=25,"Grade C",C3&lt;=35,"Grade A",C3&lt;=55,"Grade B",C3&gt;55,"Grade D")</f>
        <v>Grade A</v>
      </c>
      <c r="P3" s="6" t="str">
        <f t="shared" ref="P3:P66" si="1">INDEX($T$13:$W$15,MATCH(N3,$S$13:$S$15,0),MATCH(O3,$T$12:$W$12,0))</f>
        <v>Low</v>
      </c>
    </row>
    <row r="4" spans="1:23" x14ac:dyDescent="0.35">
      <c r="A4" s="1">
        <v>6507231</v>
      </c>
      <c r="B4" s="1" t="str">
        <f>TRIM('Raw Dataset'!B4)</f>
        <v>Yudi Santoso</v>
      </c>
      <c r="C4" s="1">
        <v>37</v>
      </c>
      <c r="D4" s="1" t="s">
        <v>12</v>
      </c>
      <c r="E4" s="8">
        <v>44761</v>
      </c>
      <c r="F4" s="1">
        <v>726795</v>
      </c>
      <c r="G4" s="8">
        <v>44771</v>
      </c>
      <c r="H4" s="1">
        <v>521</v>
      </c>
      <c r="I4" s="9">
        <v>4676007</v>
      </c>
      <c r="J4" s="9">
        <v>6844373</v>
      </c>
      <c r="K4" s="1" t="s">
        <v>18</v>
      </c>
      <c r="L4" s="1" t="str">
        <f>_xlfn.XLOOKUP(K4,Lookup!$G$4:$G$15,Lookup!$F$4:$F$15,"Unmapping",0,1)</f>
        <v>Jawa Tengah</v>
      </c>
      <c r="M4" s="1" t="str">
        <f>VLOOKUP(H4,Lookup!$C$4:$D$9,2,0)</f>
        <v>Special Hajj</v>
      </c>
      <c r="N4" s="6" t="str">
        <f t="shared" si="0"/>
        <v>Mass Market</v>
      </c>
      <c r="O4" s="6" t="str" cm="1">
        <f t="array" ref="O4">_xlfn.IFS(C4&lt;=25,"Grade C",C4&lt;=35,"Grade A",C4&lt;=55,"Grade B",C4&gt;55,"Grade D")</f>
        <v>Grade B</v>
      </c>
      <c r="P4" s="6" t="str">
        <f t="shared" si="1"/>
        <v>Low</v>
      </c>
      <c r="S4" s="2" t="s">
        <v>164</v>
      </c>
      <c r="T4" s="2" t="s">
        <v>2</v>
      </c>
    </row>
    <row r="5" spans="1:23" x14ac:dyDescent="0.35">
      <c r="A5" s="1">
        <v>2306909</v>
      </c>
      <c r="B5" s="1" t="str">
        <f>TRIM('Raw Dataset'!B5)</f>
        <v>Hendra Permana</v>
      </c>
      <c r="C5" s="1">
        <v>25</v>
      </c>
      <c r="D5" s="1" t="s">
        <v>12</v>
      </c>
      <c r="E5" s="8">
        <v>45643</v>
      </c>
      <c r="F5" s="1">
        <v>471359</v>
      </c>
      <c r="G5" s="8">
        <v>45653</v>
      </c>
      <c r="H5" s="1">
        <v>808</v>
      </c>
      <c r="I5" s="9">
        <v>5717876</v>
      </c>
      <c r="J5" s="9">
        <v>8325624</v>
      </c>
      <c r="K5" s="1" t="s">
        <v>20</v>
      </c>
      <c r="L5" s="1" t="str">
        <f>_xlfn.XLOOKUP(K5,Lookup!$G$4:$G$15,Lookup!$F$4:$F$15,"Unmapping",0,1)</f>
        <v>Jawa Timur</v>
      </c>
      <c r="M5" s="1" t="str">
        <f>VLOOKUP(H5,Lookup!$C$4:$D$9,2,0)</f>
        <v>Tab Umroh</v>
      </c>
      <c r="N5" s="6" t="str">
        <f t="shared" si="0"/>
        <v>Mass Market</v>
      </c>
      <c r="O5" s="6" t="str" cm="1">
        <f t="array" ref="O5">_xlfn.IFS(C5&lt;=25,"Grade C",C5&lt;=35,"Grade A",C5&lt;=55,"Grade B",C5&gt;55,"Grade D")</f>
        <v>Grade C</v>
      </c>
      <c r="P5" s="6" t="str">
        <f t="shared" si="1"/>
        <v>Low</v>
      </c>
      <c r="S5" s="1" t="s">
        <v>160</v>
      </c>
      <c r="T5" s="1" t="s">
        <v>159</v>
      </c>
    </row>
    <row r="6" spans="1:23" x14ac:dyDescent="0.35">
      <c r="A6" s="1">
        <v>6713678</v>
      </c>
      <c r="B6" s="1" t="str">
        <f>TRIM('Raw Dataset'!B6)</f>
        <v>Rina Rahayu</v>
      </c>
      <c r="C6" s="1">
        <v>29</v>
      </c>
      <c r="D6" s="1" t="s">
        <v>12</v>
      </c>
      <c r="E6" s="8">
        <v>44631</v>
      </c>
      <c r="F6" s="1">
        <v>222391</v>
      </c>
      <c r="G6" s="8">
        <v>44641</v>
      </c>
      <c r="H6" s="1">
        <v>413</v>
      </c>
      <c r="I6" s="9">
        <v>2158895</v>
      </c>
      <c r="J6" s="9">
        <v>8347943</v>
      </c>
      <c r="K6" s="1" t="s">
        <v>22</v>
      </c>
      <c r="L6" s="1" t="str">
        <f>_xlfn.XLOOKUP(K6,Lookup!$G$4:$G$15,Lookup!$F$4:$F$15,"Unmapping",0,1)</f>
        <v>Kalimantan</v>
      </c>
      <c r="M6" s="1" t="str">
        <f>VLOOKUP(H6,Lookup!$C$4:$D$9,2,0)</f>
        <v xml:space="preserve">Tab Valas </v>
      </c>
      <c r="N6" s="6" t="str">
        <f t="shared" si="0"/>
        <v>Mass Market</v>
      </c>
      <c r="O6" s="6" t="str" cm="1">
        <f t="array" ref="O6">_xlfn.IFS(C6&lt;=25,"Grade C",C6&lt;=35,"Grade A",C6&lt;=55,"Grade B",C6&gt;55,"Grade D")</f>
        <v>Grade A</v>
      </c>
      <c r="P6" s="6" t="str">
        <f t="shared" si="1"/>
        <v>Low</v>
      </c>
      <c r="S6" s="1" t="s">
        <v>155</v>
      </c>
      <c r="T6" s="1" t="s">
        <v>154</v>
      </c>
    </row>
    <row r="7" spans="1:23" x14ac:dyDescent="0.35">
      <c r="A7" s="1">
        <v>3477250</v>
      </c>
      <c r="B7" s="1" t="str">
        <f>TRIM('Raw Dataset'!B7)</f>
        <v>Lina Wibowo</v>
      </c>
      <c r="C7" s="1">
        <v>45</v>
      </c>
      <c r="D7" s="1" t="s">
        <v>12</v>
      </c>
      <c r="E7" s="8">
        <v>44992</v>
      </c>
      <c r="F7" s="1">
        <v>784959</v>
      </c>
      <c r="G7" s="8">
        <v>45002</v>
      </c>
      <c r="H7" s="1">
        <v>712</v>
      </c>
      <c r="I7" s="9">
        <v>2203171</v>
      </c>
      <c r="J7" s="9">
        <v>5618396</v>
      </c>
      <c r="K7" s="1" t="s">
        <v>24</v>
      </c>
      <c r="L7" s="1" t="str">
        <f>_xlfn.XLOOKUP(K7,Lookup!$G$4:$G$15,Lookup!$F$4:$F$15,"Unmapping",0,1)</f>
        <v>Sumatera Utara</v>
      </c>
      <c r="M7" s="1" t="str">
        <f>VLOOKUP(H7,Lookup!$C$4:$D$9,2,0)</f>
        <v>Tab Syariah</v>
      </c>
      <c r="N7" s="6" t="str">
        <f t="shared" si="0"/>
        <v>Mass Market</v>
      </c>
      <c r="O7" s="6" t="str" cm="1">
        <f t="array" ref="O7">_xlfn.IFS(C7&lt;=25,"Grade C",C7&lt;=35,"Grade A",C7&lt;=55,"Grade B",C7&gt;55,"Grade D")</f>
        <v>Grade B</v>
      </c>
      <c r="P7" s="6" t="str">
        <f t="shared" si="1"/>
        <v>Low</v>
      </c>
      <c r="S7" s="1" t="s">
        <v>150</v>
      </c>
      <c r="T7" s="1" t="s">
        <v>149</v>
      </c>
    </row>
    <row r="8" spans="1:23" x14ac:dyDescent="0.35">
      <c r="A8" s="1">
        <v>2446706</v>
      </c>
      <c r="B8" s="1" t="str">
        <f>TRIM('Raw Dataset'!B8)</f>
        <v>Joko Sari</v>
      </c>
      <c r="C8" s="1">
        <v>55</v>
      </c>
      <c r="D8" s="1" t="s">
        <v>12</v>
      </c>
      <c r="E8" s="8">
        <v>44196</v>
      </c>
      <c r="F8" s="1">
        <v>670347</v>
      </c>
      <c r="G8" s="8">
        <v>44206</v>
      </c>
      <c r="H8" s="1">
        <v>621</v>
      </c>
      <c r="I8" s="9">
        <v>3722178</v>
      </c>
      <c r="J8" s="9">
        <v>6563564</v>
      </c>
      <c r="K8" s="1" t="s">
        <v>26</v>
      </c>
      <c r="L8" s="1" t="str">
        <f>_xlfn.XLOOKUP(K8,Lookup!$G$4:$G$15,Lookup!$F$4:$F$15,"Unmapping",0,1)</f>
        <v>DKI Jakarta</v>
      </c>
      <c r="M8" s="1" t="str">
        <f>VLOOKUP(H8,Lookup!$C$4:$D$9,2,0)</f>
        <v>Tab Hajj</v>
      </c>
      <c r="N8" s="6" t="str">
        <f t="shared" si="0"/>
        <v>Mass Market</v>
      </c>
      <c r="O8" s="6" t="str" cm="1">
        <f t="array" ref="O8">_xlfn.IFS(C8&lt;=25,"Grade C",C8&lt;=35,"Grade A",C8&lt;=55,"Grade B",C8&gt;55,"Grade D")</f>
        <v>Grade B</v>
      </c>
      <c r="P8" s="6" t="str">
        <f t="shared" si="1"/>
        <v>Low</v>
      </c>
      <c r="S8" s="1" t="s">
        <v>147</v>
      </c>
      <c r="T8" s="1" t="s">
        <v>146</v>
      </c>
    </row>
    <row r="9" spans="1:23" x14ac:dyDescent="0.35">
      <c r="A9" s="1">
        <v>8882904</v>
      </c>
      <c r="B9" s="1" t="str">
        <f>TRIM('Raw Dataset'!B9)</f>
        <v>Hadi Saputri</v>
      </c>
      <c r="C9" s="1">
        <v>20</v>
      </c>
      <c r="D9" s="1" t="s">
        <v>12</v>
      </c>
      <c r="E9" s="8">
        <v>44554</v>
      </c>
      <c r="F9" s="1">
        <v>992697</v>
      </c>
      <c r="G9" s="8">
        <v>44564</v>
      </c>
      <c r="H9" s="1">
        <v>620</v>
      </c>
      <c r="I9" s="9">
        <v>2173515</v>
      </c>
      <c r="J9" s="9">
        <v>5182322</v>
      </c>
      <c r="K9" s="1" t="s">
        <v>28</v>
      </c>
      <c r="L9" s="1" t="str">
        <f>_xlfn.XLOOKUP(K9,Lookup!$G$4:$G$15,Lookup!$F$4:$F$15,"Unmapping",0,1)</f>
        <v>Papua</v>
      </c>
      <c r="M9" s="1" t="str">
        <f>VLOOKUP(H9,Lookup!$C$4:$D$9,2,0)</f>
        <v>Wadiah</v>
      </c>
      <c r="N9" s="6" t="str">
        <f t="shared" si="0"/>
        <v>Mass Market</v>
      </c>
      <c r="O9" s="6" t="str" cm="1">
        <f t="array" ref="O9">_xlfn.IFS(C9&lt;=25,"Grade C",C9&lt;=35,"Grade A",C9&lt;=55,"Grade B",C9&gt;55,"Grade D")</f>
        <v>Grade C</v>
      </c>
      <c r="P9" s="6" t="str">
        <f t="shared" si="1"/>
        <v>Low</v>
      </c>
    </row>
    <row r="10" spans="1:23" x14ac:dyDescent="0.35">
      <c r="A10" s="1">
        <v>2985075</v>
      </c>
      <c r="B10" s="1" t="str">
        <f>TRIM('Raw Dataset'!B10)</f>
        <v>Kartika Kurniawan</v>
      </c>
      <c r="C10" s="1">
        <v>64</v>
      </c>
      <c r="D10" s="1" t="s">
        <v>12</v>
      </c>
      <c r="E10" s="8">
        <v>45077</v>
      </c>
      <c r="F10" s="1">
        <v>855807</v>
      </c>
      <c r="G10" s="8">
        <v>45087</v>
      </c>
      <c r="H10" s="1">
        <v>521</v>
      </c>
      <c r="I10" s="9">
        <v>5867720</v>
      </c>
      <c r="J10" s="9">
        <v>7688655</v>
      </c>
      <c r="K10" s="1" t="s">
        <v>30</v>
      </c>
      <c r="L10" s="1" t="str">
        <f>_xlfn.XLOOKUP(K10,Lookup!$G$4:$G$15,Lookup!$F$4:$F$15,"Unmapping",0,1)</f>
        <v>Bali</v>
      </c>
      <c r="M10" s="1" t="str">
        <f>VLOOKUP(H10,Lookup!$C$4:$D$9,2,0)</f>
        <v>Special Hajj</v>
      </c>
      <c r="N10" s="6" t="str">
        <f t="shared" si="0"/>
        <v>Mass Market</v>
      </c>
      <c r="O10" s="6" t="str" cm="1">
        <f t="array" ref="O10">_xlfn.IFS(C10&lt;=25,"Grade C",C10&lt;=35,"Grade A",C10&lt;=55,"Grade B",C10&gt;55,"Grade D")</f>
        <v>Grade D</v>
      </c>
      <c r="P10" s="6" t="str">
        <f t="shared" si="1"/>
        <v>Low</v>
      </c>
    </row>
    <row r="11" spans="1:23" x14ac:dyDescent="0.35">
      <c r="A11" s="1">
        <v>3365113</v>
      </c>
      <c r="B11" s="1" t="str">
        <f>TRIM('Raw Dataset'!B11)</f>
        <v>Indah Ramadhan</v>
      </c>
      <c r="C11" s="1">
        <v>31</v>
      </c>
      <c r="D11" s="1" t="s">
        <v>12</v>
      </c>
      <c r="E11" s="8">
        <v>43874</v>
      </c>
      <c r="F11" s="1">
        <v>782420</v>
      </c>
      <c r="G11" s="8">
        <v>43884</v>
      </c>
      <c r="H11" s="1">
        <v>808</v>
      </c>
      <c r="I11" s="9">
        <v>7629989</v>
      </c>
      <c r="J11" s="9">
        <v>6784112</v>
      </c>
      <c r="K11" s="1" t="s">
        <v>32</v>
      </c>
      <c r="L11" s="1" t="str">
        <f>_xlfn.XLOOKUP(K11,Lookup!$G$4:$G$15,Lookup!$F$4:$F$15,"Unmapping",0,1)</f>
        <v>Maluku</v>
      </c>
      <c r="M11" s="1" t="str">
        <f>VLOOKUP(H11,Lookup!$C$4:$D$9,2,0)</f>
        <v>Tab Umroh</v>
      </c>
      <c r="N11" s="6" t="str">
        <f t="shared" si="0"/>
        <v>Mass Market</v>
      </c>
      <c r="O11" s="6" t="str" cm="1">
        <f t="array" ref="O11">_xlfn.IFS(C11&lt;=25,"Grade C",C11&lt;=35,"Grade A",C11&lt;=55,"Grade B",C11&gt;55,"Grade D")</f>
        <v>Grade A</v>
      </c>
      <c r="P11" s="6" t="str">
        <f t="shared" si="1"/>
        <v>Low</v>
      </c>
      <c r="S11" s="14" t="s">
        <v>142</v>
      </c>
      <c r="T11" s="15" t="s">
        <v>181</v>
      </c>
      <c r="U11" s="15"/>
      <c r="V11" s="15"/>
      <c r="W11" s="3"/>
    </row>
    <row r="12" spans="1:23" x14ac:dyDescent="0.35">
      <c r="A12" s="1">
        <v>8369052</v>
      </c>
      <c r="B12" s="1" t="str">
        <f>TRIM('Raw Dataset'!B12)</f>
        <v>Dewi Nugroho</v>
      </c>
      <c r="C12" s="1">
        <v>28</v>
      </c>
      <c r="D12" s="1" t="s">
        <v>15</v>
      </c>
      <c r="E12" s="8">
        <v>44883</v>
      </c>
      <c r="F12" s="1">
        <v>800474</v>
      </c>
      <c r="G12" s="8">
        <v>44893</v>
      </c>
      <c r="H12" s="1">
        <v>413</v>
      </c>
      <c r="I12" s="9">
        <v>18287346</v>
      </c>
      <c r="J12" s="9">
        <v>20678701</v>
      </c>
      <c r="K12" s="1" t="s">
        <v>34</v>
      </c>
      <c r="L12" s="1" t="str">
        <f>_xlfn.XLOOKUP(K12,Lookup!$G$4:$G$15,Lookup!$F$4:$F$15,"Unmapping",0,1)</f>
        <v>Sulawesi Utara</v>
      </c>
      <c r="M12" s="1" t="str">
        <f>VLOOKUP(H12,Lookup!$C$4:$D$9,2,0)</f>
        <v xml:space="preserve">Tab Valas </v>
      </c>
      <c r="N12" s="6" t="str">
        <f t="shared" si="0"/>
        <v>Optimal</v>
      </c>
      <c r="O12" s="6" t="str" cm="1">
        <f t="array" ref="O12">_xlfn.IFS(C12&lt;=25,"Grade C",C12&lt;=35,"Grade A",C12&lt;=55,"Grade B",C12&gt;55,"Grade D")</f>
        <v>Grade A</v>
      </c>
      <c r="P12" s="6" t="str">
        <f t="shared" si="1"/>
        <v>High</v>
      </c>
      <c r="S12" s="14"/>
      <c r="T12" s="5" t="s">
        <v>160</v>
      </c>
      <c r="U12" s="5" t="s">
        <v>155</v>
      </c>
      <c r="V12" s="5" t="s">
        <v>150</v>
      </c>
      <c r="W12" s="5" t="s">
        <v>147</v>
      </c>
    </row>
    <row r="13" spans="1:23" x14ac:dyDescent="0.35">
      <c r="A13" s="1">
        <v>2918715</v>
      </c>
      <c r="B13" s="1" t="str">
        <f>TRIM('Raw Dataset'!B13)</f>
        <v>Joko Putra</v>
      </c>
      <c r="C13" s="1">
        <v>47</v>
      </c>
      <c r="D13" s="1" t="s">
        <v>15</v>
      </c>
      <c r="E13" s="8">
        <v>45068</v>
      </c>
      <c r="F13" s="1">
        <v>607697</v>
      </c>
      <c r="G13" s="8">
        <v>45078</v>
      </c>
      <c r="H13" s="1">
        <v>712</v>
      </c>
      <c r="I13" s="9">
        <v>6355438</v>
      </c>
      <c r="J13" s="9">
        <v>11137340</v>
      </c>
      <c r="K13" s="1" t="s">
        <v>36</v>
      </c>
      <c r="L13" s="1" t="str">
        <f>_xlfn.XLOOKUP(K13,Lookup!$G$4:$G$15,Lookup!$F$4:$F$15,"Unmapping",0,1)</f>
        <v>Sulawesi Tenggara</v>
      </c>
      <c r="M13" s="1" t="str">
        <f>VLOOKUP(H13,Lookup!$C$4:$D$9,2,0)</f>
        <v>Tab Syariah</v>
      </c>
      <c r="N13" s="6" t="str">
        <f t="shared" si="0"/>
        <v>Mass Market</v>
      </c>
      <c r="O13" s="6" t="str" cm="1">
        <f t="array" ref="O13">_xlfn.IFS(C13&lt;=25,"Grade C",C13&lt;=35,"Grade A",C13&lt;=55,"Grade B",C13&gt;55,"Grade D")</f>
        <v>Grade B</v>
      </c>
      <c r="P13" s="6" t="str">
        <f t="shared" si="1"/>
        <v>Low</v>
      </c>
      <c r="S13" s="1" t="s">
        <v>162</v>
      </c>
      <c r="T13" s="4" t="s">
        <v>176</v>
      </c>
      <c r="U13" s="4" t="s">
        <v>176</v>
      </c>
      <c r="V13" s="4" t="s">
        <v>176</v>
      </c>
      <c r="W13" s="4" t="s">
        <v>176</v>
      </c>
    </row>
    <row r="14" spans="1:23" x14ac:dyDescent="0.35">
      <c r="A14" s="1">
        <v>4849083</v>
      </c>
      <c r="B14" s="1" t="str">
        <f>TRIM('Raw Dataset'!B14)</f>
        <v>Eka Wijaya</v>
      </c>
      <c r="C14" s="1">
        <v>16</v>
      </c>
      <c r="D14" s="1" t="s">
        <v>12</v>
      </c>
      <c r="E14" s="8">
        <v>44436</v>
      </c>
      <c r="F14" s="1">
        <v>695274</v>
      </c>
      <c r="G14" s="8">
        <v>44446</v>
      </c>
      <c r="H14" s="1">
        <v>621</v>
      </c>
      <c r="I14" s="9">
        <v>9144128</v>
      </c>
      <c r="J14" s="9">
        <v>23156763</v>
      </c>
      <c r="K14" s="1" t="s">
        <v>18</v>
      </c>
      <c r="L14" s="1" t="str">
        <f>_xlfn.XLOOKUP(K14,Lookup!$G$4:$G$15,Lookup!$F$4:$F$15,"Unmapping",0,1)</f>
        <v>Jawa Tengah</v>
      </c>
      <c r="M14" s="1" t="str">
        <f>VLOOKUP(H14,Lookup!$C$4:$D$9,2,0)</f>
        <v>Tab Hajj</v>
      </c>
      <c r="N14" s="6" t="str">
        <f>IF(I14&lt;10000000,"Mass Market",IF(I14&lt;=50000000,"Optimal","Privilage"))</f>
        <v>Mass Market</v>
      </c>
      <c r="O14" s="6" t="str" cm="1">
        <f t="array" ref="O14">_xlfn.IFS(C14&lt;=25,"Grade C",C14&lt;=35,"Grade A",C14&lt;=55,"Grade B",C14&gt;55,"Grade D")</f>
        <v>Grade C</v>
      </c>
      <c r="P14" s="6" t="str">
        <f t="shared" si="1"/>
        <v>Low</v>
      </c>
      <c r="S14" s="1" t="s">
        <v>157</v>
      </c>
      <c r="T14" s="4" t="s">
        <v>170</v>
      </c>
      <c r="U14" s="4" t="s">
        <v>170</v>
      </c>
      <c r="V14" s="4" t="s">
        <v>173</v>
      </c>
      <c r="W14" s="4" t="s">
        <v>173</v>
      </c>
    </row>
    <row r="15" spans="1:23" x14ac:dyDescent="0.35">
      <c r="A15" s="1">
        <v>5113873</v>
      </c>
      <c r="B15" s="1" t="str">
        <f>TRIM('Raw Dataset'!B15)</f>
        <v>Putri Kusuma</v>
      </c>
      <c r="C15" s="1">
        <v>22</v>
      </c>
      <c r="D15" s="1" t="s">
        <v>12</v>
      </c>
      <c r="E15" s="8">
        <v>45700</v>
      </c>
      <c r="F15" s="1">
        <v>383843</v>
      </c>
      <c r="G15" s="8">
        <v>45710</v>
      </c>
      <c r="H15" s="1">
        <v>620</v>
      </c>
      <c r="I15" s="9">
        <v>14876013</v>
      </c>
      <c r="J15" s="9">
        <v>5558765</v>
      </c>
      <c r="K15" s="1" t="s">
        <v>20</v>
      </c>
      <c r="L15" s="1" t="str">
        <f>_xlfn.XLOOKUP(K15,Lookup!$G$4:$G$15,Lookup!$F$4:$F$15,"Unmapping",0,1)</f>
        <v>Jawa Timur</v>
      </c>
      <c r="M15" s="1" t="str">
        <f>VLOOKUP(H15,Lookup!$C$4:$D$9,2,0)</f>
        <v>Wadiah</v>
      </c>
      <c r="N15" s="6" t="str">
        <f t="shared" si="0"/>
        <v>Optimal</v>
      </c>
      <c r="O15" s="6" t="str" cm="1">
        <f t="array" ref="O15">_xlfn.IFS(C15&lt;=25,"Grade C",C15&lt;=35,"Grade A",C15&lt;=55,"Grade B",C15&gt;55,"Grade D")</f>
        <v>Grade C</v>
      </c>
      <c r="P15" s="6" t="str">
        <f t="shared" si="1"/>
        <v>Middle</v>
      </c>
      <c r="S15" s="1" t="s">
        <v>185</v>
      </c>
      <c r="T15" s="4" t="s">
        <v>170</v>
      </c>
      <c r="U15" s="4" t="s">
        <v>170</v>
      </c>
      <c r="V15" s="4" t="s">
        <v>170</v>
      </c>
      <c r="W15" s="4" t="s">
        <v>170</v>
      </c>
    </row>
    <row r="16" spans="1:23" x14ac:dyDescent="0.35">
      <c r="A16" s="1">
        <v>5881429</v>
      </c>
      <c r="B16" s="1" t="str">
        <f>TRIM('Raw Dataset'!B16)</f>
        <v>Hendra Kusuma</v>
      </c>
      <c r="C16" s="1">
        <v>62</v>
      </c>
      <c r="D16" s="1" t="s">
        <v>12</v>
      </c>
      <c r="E16" s="8">
        <v>43992</v>
      </c>
      <c r="F16" s="1">
        <v>970687</v>
      </c>
      <c r="G16" s="8">
        <v>44002</v>
      </c>
      <c r="H16" s="1">
        <v>521</v>
      </c>
      <c r="I16" s="9">
        <v>17183899</v>
      </c>
      <c r="J16" s="9">
        <v>24492905</v>
      </c>
      <c r="K16" s="1" t="s">
        <v>22</v>
      </c>
      <c r="L16" s="1" t="str">
        <f>_xlfn.XLOOKUP(K16,Lookup!$G$4:$G$15,Lookup!$F$4:$F$15,"Unmapping",0,1)</f>
        <v>Kalimantan</v>
      </c>
      <c r="M16" s="1" t="str">
        <f>VLOOKUP(H16,Lookup!$C$4:$D$9,2,0)</f>
        <v>Special Hajj</v>
      </c>
      <c r="N16" s="6" t="str">
        <f t="shared" si="0"/>
        <v>Optimal</v>
      </c>
      <c r="O16" s="6" t="str" cm="1">
        <f t="array" ref="O16">_xlfn.IFS(C16&lt;=25,"Grade C",C16&lt;=35,"Grade A",C16&lt;=55,"Grade B",C16&gt;55,"Grade D")</f>
        <v>Grade D</v>
      </c>
      <c r="P16" s="6" t="str">
        <f t="shared" si="1"/>
        <v>Middle</v>
      </c>
    </row>
    <row r="17" spans="1:16" x14ac:dyDescent="0.35">
      <c r="A17" s="1">
        <v>8573274</v>
      </c>
      <c r="B17" s="1" t="str">
        <f>TRIM('Raw Dataset'!B17)</f>
        <v>Indah Kurniawan</v>
      </c>
      <c r="C17" s="1">
        <v>57</v>
      </c>
      <c r="D17" s="1" t="s">
        <v>12</v>
      </c>
      <c r="E17" s="8">
        <v>45255</v>
      </c>
      <c r="F17" s="1">
        <v>819522</v>
      </c>
      <c r="G17" s="8">
        <v>45265</v>
      </c>
      <c r="H17" s="1">
        <v>808</v>
      </c>
      <c r="I17" s="9">
        <v>14642960</v>
      </c>
      <c r="J17" s="9">
        <v>28520880</v>
      </c>
      <c r="K17" s="1" t="s">
        <v>24</v>
      </c>
      <c r="L17" s="1" t="str">
        <f>_xlfn.XLOOKUP(K17,Lookup!$G$4:$G$15,Lookup!$F$4:$F$15,"Unmapping",0,1)</f>
        <v>Sumatera Utara</v>
      </c>
      <c r="M17" s="1" t="str">
        <f>VLOOKUP(H17,Lookup!$C$4:$D$9,2,0)</f>
        <v>Tab Umroh</v>
      </c>
      <c r="N17" s="6" t="str">
        <f t="shared" si="0"/>
        <v>Optimal</v>
      </c>
      <c r="O17" s="6" t="str" cm="1">
        <f t="array" ref="O17">_xlfn.IFS(C17&lt;=25,"Grade C",C17&lt;=35,"Grade A",C17&lt;=55,"Grade B",C17&gt;55,"Grade D")</f>
        <v>Grade D</v>
      </c>
      <c r="P17" s="6" t="str">
        <f t="shared" si="1"/>
        <v>Middle</v>
      </c>
    </row>
    <row r="18" spans="1:16" x14ac:dyDescent="0.35">
      <c r="A18" s="1">
        <v>6265976</v>
      </c>
      <c r="B18" s="1" t="str">
        <f>TRIM('Raw Dataset'!B18)</f>
        <v>Fitri Susanti</v>
      </c>
      <c r="C18" s="1">
        <v>21</v>
      </c>
      <c r="D18" s="1" t="s">
        <v>12</v>
      </c>
      <c r="E18" s="8">
        <v>43874</v>
      </c>
      <c r="F18" s="1">
        <v>408181</v>
      </c>
      <c r="G18" s="8">
        <v>43884</v>
      </c>
      <c r="H18" s="1">
        <v>413</v>
      </c>
      <c r="I18" s="9">
        <v>13499694</v>
      </c>
      <c r="J18" s="9">
        <v>18546605</v>
      </c>
      <c r="K18" s="1" t="s">
        <v>13</v>
      </c>
      <c r="L18" s="1" t="str">
        <f>_xlfn.XLOOKUP(K18,Lookup!$G$4:$G$15,Lookup!$F$4:$F$15,"Unmapping",0,1)</f>
        <v>Jawa Barat</v>
      </c>
      <c r="M18" s="1" t="str">
        <f>VLOOKUP(H18,Lookup!$C$4:$D$9,2,0)</f>
        <v xml:space="preserve">Tab Valas </v>
      </c>
      <c r="N18" s="6" t="str">
        <f t="shared" si="0"/>
        <v>Optimal</v>
      </c>
      <c r="O18" s="6" t="str" cm="1">
        <f t="array" ref="O18">_xlfn.IFS(C18&lt;=25,"Grade C",C18&lt;=35,"Grade A",C18&lt;=55,"Grade B",C18&gt;55,"Grade D")</f>
        <v>Grade C</v>
      </c>
      <c r="P18" s="6" t="str">
        <f t="shared" si="1"/>
        <v>Middle</v>
      </c>
    </row>
    <row r="19" spans="1:16" x14ac:dyDescent="0.35">
      <c r="A19" s="1">
        <v>2288253</v>
      </c>
      <c r="B19" s="1" t="str">
        <f>TRIM('Raw Dataset'!B19)</f>
        <v>Erna Hidayat</v>
      </c>
      <c r="C19" s="1">
        <v>30</v>
      </c>
      <c r="D19" s="1" t="s">
        <v>12</v>
      </c>
      <c r="E19" s="8">
        <v>44317</v>
      </c>
      <c r="F19" s="1">
        <v>559401</v>
      </c>
      <c r="G19" s="8">
        <v>44327</v>
      </c>
      <c r="H19" s="1">
        <v>712</v>
      </c>
      <c r="I19" s="9">
        <v>18915499</v>
      </c>
      <c r="J19" s="9">
        <v>11478093</v>
      </c>
      <c r="K19" s="1" t="s">
        <v>16</v>
      </c>
      <c r="L19" s="1" t="str">
        <f>_xlfn.XLOOKUP(K19,Lookup!$G$4:$G$15,Lookup!$F$4:$F$15,"Unmapping",0,1)</f>
        <v>Sumatera Selatan</v>
      </c>
      <c r="M19" s="1" t="str">
        <f>VLOOKUP(H19,Lookup!$C$4:$D$9,2,0)</f>
        <v>Tab Syariah</v>
      </c>
      <c r="N19" s="6" t="str">
        <f t="shared" si="0"/>
        <v>Optimal</v>
      </c>
      <c r="O19" s="6" t="str" cm="1">
        <f t="array" ref="O19">_xlfn.IFS(C19&lt;=25,"Grade C",C19&lt;=35,"Grade A",C19&lt;=55,"Grade B",C19&gt;55,"Grade D")</f>
        <v>Grade A</v>
      </c>
      <c r="P19" s="6" t="str">
        <f t="shared" si="1"/>
        <v>High</v>
      </c>
    </row>
    <row r="20" spans="1:16" x14ac:dyDescent="0.35">
      <c r="A20" s="1">
        <v>8078818</v>
      </c>
      <c r="B20" s="1" t="str">
        <f>TRIM('Raw Dataset'!B20)</f>
        <v>Hadi Halim</v>
      </c>
      <c r="C20" s="1">
        <v>58</v>
      </c>
      <c r="D20" s="1" t="s">
        <v>15</v>
      </c>
      <c r="E20" s="8">
        <v>44924</v>
      </c>
      <c r="F20" s="1">
        <v>740849</v>
      </c>
      <c r="G20" s="8">
        <v>44934</v>
      </c>
      <c r="H20" s="1">
        <v>621</v>
      </c>
      <c r="I20" s="9">
        <v>13447101</v>
      </c>
      <c r="J20" s="9">
        <v>29853111</v>
      </c>
      <c r="K20" s="1" t="s">
        <v>18</v>
      </c>
      <c r="L20" s="1" t="str">
        <f>_xlfn.XLOOKUP(K20,Lookup!$G$4:$G$15,Lookup!$F$4:$F$15,"Unmapping",0,1)</f>
        <v>Jawa Tengah</v>
      </c>
      <c r="M20" s="1" t="str">
        <f>VLOOKUP(H20,Lookup!$C$4:$D$9,2,0)</f>
        <v>Tab Hajj</v>
      </c>
      <c r="N20" s="6" t="str">
        <f t="shared" si="0"/>
        <v>Optimal</v>
      </c>
      <c r="O20" s="6" t="str" cm="1">
        <f t="array" ref="O20">_xlfn.IFS(C20&lt;=25,"Grade C",C20&lt;=35,"Grade A",C20&lt;=55,"Grade B",C20&gt;55,"Grade D")</f>
        <v>Grade D</v>
      </c>
      <c r="P20" s="6" t="str">
        <f t="shared" si="1"/>
        <v>Middle</v>
      </c>
    </row>
    <row r="21" spans="1:16" x14ac:dyDescent="0.35">
      <c r="A21" s="1">
        <v>6068619</v>
      </c>
      <c r="B21" s="1" t="str">
        <f>TRIM('Raw Dataset'!B21)</f>
        <v>Gilang Kurniawan</v>
      </c>
      <c r="C21" s="1">
        <v>62</v>
      </c>
      <c r="D21" s="1" t="s">
        <v>15</v>
      </c>
      <c r="E21" s="8">
        <v>45378</v>
      </c>
      <c r="F21" s="1">
        <v>464201</v>
      </c>
      <c r="G21" s="8">
        <v>45388</v>
      </c>
      <c r="H21" s="1">
        <v>620</v>
      </c>
      <c r="I21" s="9">
        <v>15451751</v>
      </c>
      <c r="J21" s="9">
        <v>21605243</v>
      </c>
      <c r="K21" s="1" t="s">
        <v>20</v>
      </c>
      <c r="L21" s="1" t="str">
        <f>_xlfn.XLOOKUP(K21,Lookup!$G$4:$G$15,Lookup!$F$4:$F$15,"Unmapping",0,1)</f>
        <v>Jawa Timur</v>
      </c>
      <c r="M21" s="1" t="str">
        <f>VLOOKUP(H21,Lookup!$C$4:$D$9,2,0)</f>
        <v>Wadiah</v>
      </c>
      <c r="N21" s="6" t="str">
        <f t="shared" si="0"/>
        <v>Optimal</v>
      </c>
      <c r="O21" s="6" t="str" cm="1">
        <f t="array" ref="O21">_xlfn.IFS(C21&lt;=25,"Grade C",C21&lt;=35,"Grade A",C21&lt;=55,"Grade B",C21&gt;55,"Grade D")</f>
        <v>Grade D</v>
      </c>
      <c r="P21" s="6" t="str">
        <f t="shared" si="1"/>
        <v>Middle</v>
      </c>
    </row>
    <row r="22" spans="1:16" x14ac:dyDescent="0.35">
      <c r="A22" s="1">
        <v>2805431</v>
      </c>
      <c r="B22" s="1" t="str">
        <f>TRIM('Raw Dataset'!B22)</f>
        <v>Putri Nugroho</v>
      </c>
      <c r="C22" s="1">
        <v>29</v>
      </c>
      <c r="D22" s="1" t="s">
        <v>15</v>
      </c>
      <c r="E22" s="8">
        <v>44853</v>
      </c>
      <c r="F22" s="1">
        <v>557100</v>
      </c>
      <c r="G22" s="8">
        <v>44863</v>
      </c>
      <c r="H22" s="1">
        <v>521</v>
      </c>
      <c r="I22" s="9">
        <v>17245926</v>
      </c>
      <c r="J22" s="9">
        <v>9790888</v>
      </c>
      <c r="K22" s="1" t="s">
        <v>22</v>
      </c>
      <c r="L22" s="1" t="str">
        <f>_xlfn.XLOOKUP(K22,Lookup!$G$4:$G$15,Lookup!$F$4:$F$15,"Unmapping",0,1)</f>
        <v>Kalimantan</v>
      </c>
      <c r="M22" s="1" t="str">
        <f>VLOOKUP(H22,Lookup!$C$4:$D$9,2,0)</f>
        <v>Special Hajj</v>
      </c>
      <c r="N22" s="6" t="str">
        <f t="shared" si="0"/>
        <v>Optimal</v>
      </c>
      <c r="O22" s="6" t="str" cm="1">
        <f t="array" ref="O22">_xlfn.IFS(C22&lt;=25,"Grade C",C22&lt;=35,"Grade A",C22&lt;=55,"Grade B",C22&gt;55,"Grade D")</f>
        <v>Grade A</v>
      </c>
      <c r="P22" s="6" t="str">
        <f t="shared" si="1"/>
        <v>High</v>
      </c>
    </row>
    <row r="23" spans="1:16" x14ac:dyDescent="0.35">
      <c r="A23" s="1">
        <v>7107439</v>
      </c>
      <c r="B23" s="1" t="str">
        <f>TRIM('Raw Dataset'!B23)</f>
        <v>Yudi Lestari</v>
      </c>
      <c r="C23" s="1">
        <v>54</v>
      </c>
      <c r="D23" s="1" t="s">
        <v>15</v>
      </c>
      <c r="E23" s="8">
        <v>44769</v>
      </c>
      <c r="F23" s="1">
        <v>855954</v>
      </c>
      <c r="G23" s="8">
        <v>44779</v>
      </c>
      <c r="H23" s="1">
        <v>808</v>
      </c>
      <c r="I23" s="9">
        <v>12700508</v>
      </c>
      <c r="J23" s="9">
        <v>28045783</v>
      </c>
      <c r="K23" s="1" t="s">
        <v>24</v>
      </c>
      <c r="L23" s="1" t="str">
        <f>_xlfn.XLOOKUP(K23,Lookup!$G$4:$G$15,Lookup!$F$4:$F$15,"Unmapping",0,1)</f>
        <v>Sumatera Utara</v>
      </c>
      <c r="M23" s="1" t="str">
        <f>VLOOKUP(H23,Lookup!$C$4:$D$9,2,0)</f>
        <v>Tab Umroh</v>
      </c>
      <c r="N23" s="6" t="str">
        <f t="shared" si="0"/>
        <v>Optimal</v>
      </c>
      <c r="O23" s="6" t="str" cm="1">
        <f t="array" ref="O23">_xlfn.IFS(C23&lt;=25,"Grade C",C23&lt;=35,"Grade A",C23&lt;=55,"Grade B",C23&gt;55,"Grade D")</f>
        <v>Grade B</v>
      </c>
      <c r="P23" s="6" t="str">
        <f t="shared" si="1"/>
        <v>High</v>
      </c>
    </row>
    <row r="24" spans="1:16" x14ac:dyDescent="0.35">
      <c r="A24" s="1">
        <v>2991283</v>
      </c>
      <c r="B24" s="1" t="str">
        <f>TRIM('Raw Dataset'!B24)</f>
        <v>Putri Putra</v>
      </c>
      <c r="C24" s="1">
        <v>45</v>
      </c>
      <c r="D24" s="1" t="s">
        <v>15</v>
      </c>
      <c r="E24" s="8">
        <v>45681</v>
      </c>
      <c r="F24" s="1">
        <v>303911</v>
      </c>
      <c r="G24" s="8">
        <v>45691</v>
      </c>
      <c r="H24" s="1">
        <v>413</v>
      </c>
      <c r="I24" s="9">
        <v>5611240</v>
      </c>
      <c r="J24" s="9">
        <v>26907957</v>
      </c>
      <c r="K24" s="1" t="s">
        <v>26</v>
      </c>
      <c r="L24" s="1" t="str">
        <f>_xlfn.XLOOKUP(K24,Lookup!$G$4:$G$15,Lookup!$F$4:$F$15,"Unmapping",0,1)</f>
        <v>DKI Jakarta</v>
      </c>
      <c r="M24" s="1" t="str">
        <f>VLOOKUP(H24,Lookup!$C$4:$D$9,2,0)</f>
        <v xml:space="preserve">Tab Valas </v>
      </c>
      <c r="N24" s="6" t="str">
        <f t="shared" si="0"/>
        <v>Mass Market</v>
      </c>
      <c r="O24" s="6" t="str" cm="1">
        <f t="array" ref="O24">_xlfn.IFS(C24&lt;=25,"Grade C",C24&lt;=35,"Grade A",C24&lt;=55,"Grade B",C24&gt;55,"Grade D")</f>
        <v>Grade B</v>
      </c>
      <c r="P24" s="6" t="str">
        <f t="shared" si="1"/>
        <v>Low</v>
      </c>
    </row>
    <row r="25" spans="1:16" x14ac:dyDescent="0.35">
      <c r="A25" s="1">
        <v>4064701</v>
      </c>
      <c r="B25" s="1" t="str">
        <f>TRIM('Raw Dataset'!B25)</f>
        <v>Yudi Handoko</v>
      </c>
      <c r="C25" s="1">
        <v>17</v>
      </c>
      <c r="D25" s="1" t="s">
        <v>15</v>
      </c>
      <c r="E25" s="8">
        <v>45480</v>
      </c>
      <c r="F25" s="1">
        <v>222431</v>
      </c>
      <c r="G25" s="8">
        <v>45490</v>
      </c>
      <c r="H25" s="1">
        <v>712</v>
      </c>
      <c r="I25" s="9">
        <v>15009149</v>
      </c>
      <c r="J25" s="9">
        <v>18837109</v>
      </c>
      <c r="K25" s="1" t="s">
        <v>28</v>
      </c>
      <c r="L25" s="1" t="str">
        <f>_xlfn.XLOOKUP(K25,Lookup!$G$4:$G$15,Lookup!$F$4:$F$15,"Unmapping",0,1)</f>
        <v>Papua</v>
      </c>
      <c r="M25" s="1" t="str">
        <f>VLOOKUP(H25,Lookup!$C$4:$D$9,2,0)</f>
        <v>Tab Syariah</v>
      </c>
      <c r="N25" s="6" t="str">
        <f t="shared" si="0"/>
        <v>Optimal</v>
      </c>
      <c r="O25" s="6" t="str" cm="1">
        <f t="array" ref="O25">_xlfn.IFS(C25&lt;=25,"Grade C",C25&lt;=35,"Grade A",C25&lt;=55,"Grade B",C25&gt;55,"Grade D")</f>
        <v>Grade C</v>
      </c>
      <c r="P25" s="6" t="str">
        <f t="shared" si="1"/>
        <v>Middle</v>
      </c>
    </row>
    <row r="26" spans="1:16" x14ac:dyDescent="0.35">
      <c r="A26" s="1">
        <v>4135053</v>
      </c>
      <c r="B26" s="1" t="str">
        <f>TRIM('Raw Dataset'!B26)</f>
        <v>Citra Susanto</v>
      </c>
      <c r="C26" s="1">
        <v>32</v>
      </c>
      <c r="D26" s="1" t="s">
        <v>15</v>
      </c>
      <c r="E26" s="8">
        <v>44610</v>
      </c>
      <c r="F26" s="1">
        <v>929239</v>
      </c>
      <c r="G26" s="8">
        <v>44620</v>
      </c>
      <c r="H26" s="1">
        <v>621</v>
      </c>
      <c r="I26" s="9">
        <v>18567258</v>
      </c>
      <c r="J26" s="9">
        <v>21454990</v>
      </c>
      <c r="K26" s="1" t="s">
        <v>30</v>
      </c>
      <c r="L26" s="1" t="str">
        <f>_xlfn.XLOOKUP(K26,Lookup!$G$4:$G$15,Lookup!$F$4:$F$15,"Unmapping",0,1)</f>
        <v>Bali</v>
      </c>
      <c r="M26" s="1" t="str">
        <f>VLOOKUP(H26,Lookup!$C$4:$D$9,2,0)</f>
        <v>Tab Hajj</v>
      </c>
      <c r="N26" s="6" t="str">
        <f t="shared" si="0"/>
        <v>Optimal</v>
      </c>
      <c r="O26" s="6" t="str" cm="1">
        <f t="array" ref="O26">_xlfn.IFS(C26&lt;=25,"Grade C",C26&lt;=35,"Grade A",C26&lt;=55,"Grade B",C26&gt;55,"Grade D")</f>
        <v>Grade A</v>
      </c>
      <c r="P26" s="6" t="str">
        <f t="shared" si="1"/>
        <v>High</v>
      </c>
    </row>
    <row r="27" spans="1:16" x14ac:dyDescent="0.35">
      <c r="A27" s="1">
        <v>6257928</v>
      </c>
      <c r="B27" s="1" t="str">
        <f>TRIM('Raw Dataset'!B27)</f>
        <v>Chandra Saputra</v>
      </c>
      <c r="C27" s="1">
        <v>34</v>
      </c>
      <c r="D27" s="1" t="s">
        <v>12</v>
      </c>
      <c r="E27" s="8">
        <v>44507</v>
      </c>
      <c r="F27" s="1">
        <v>477653</v>
      </c>
      <c r="G27" s="8">
        <v>44517</v>
      </c>
      <c r="H27" s="1">
        <v>620</v>
      </c>
      <c r="I27" s="9">
        <v>19789506</v>
      </c>
      <c r="J27" s="9">
        <v>13204992</v>
      </c>
      <c r="K27" s="1" t="s">
        <v>32</v>
      </c>
      <c r="L27" s="1" t="str">
        <f>_xlfn.XLOOKUP(K27,Lookup!$G$4:$G$15,Lookup!$F$4:$F$15,"Unmapping",0,1)</f>
        <v>Maluku</v>
      </c>
      <c r="M27" s="1" t="str">
        <f>VLOOKUP(H27,Lookup!$C$4:$D$9,2,0)</f>
        <v>Wadiah</v>
      </c>
      <c r="N27" s="6" t="str">
        <f t="shared" si="0"/>
        <v>Optimal</v>
      </c>
      <c r="O27" s="6" t="str" cm="1">
        <f t="array" ref="O27">_xlfn.IFS(C27&lt;=25,"Grade C",C27&lt;=35,"Grade A",C27&lt;=55,"Grade B",C27&gt;55,"Grade D")</f>
        <v>Grade A</v>
      </c>
      <c r="P27" s="6" t="str">
        <f t="shared" si="1"/>
        <v>High</v>
      </c>
    </row>
    <row r="28" spans="1:16" x14ac:dyDescent="0.35">
      <c r="A28" s="1">
        <v>7105047</v>
      </c>
      <c r="B28" s="1" t="str">
        <f>TRIM('Raw Dataset'!B28)</f>
        <v>Putri Kurniawan</v>
      </c>
      <c r="C28" s="1">
        <v>26</v>
      </c>
      <c r="D28" s="1" t="s">
        <v>15</v>
      </c>
      <c r="E28" s="8">
        <v>45809</v>
      </c>
      <c r="F28" s="1">
        <v>671586</v>
      </c>
      <c r="G28" s="8">
        <v>45819</v>
      </c>
      <c r="H28" s="1">
        <v>521</v>
      </c>
      <c r="I28" s="9">
        <v>17505566</v>
      </c>
      <c r="J28" s="9">
        <v>14493294</v>
      </c>
      <c r="K28" s="1" t="s">
        <v>34</v>
      </c>
      <c r="L28" s="1" t="str">
        <f>_xlfn.XLOOKUP(K28,Lookup!$G$4:$G$15,Lookup!$F$4:$F$15,"Unmapping",0,1)</f>
        <v>Sulawesi Utara</v>
      </c>
      <c r="M28" s="1" t="str">
        <f>VLOOKUP(H28,Lookup!$C$4:$D$9,2,0)</f>
        <v>Special Hajj</v>
      </c>
      <c r="N28" s="6" t="str">
        <f t="shared" si="0"/>
        <v>Optimal</v>
      </c>
      <c r="O28" s="6" t="str" cm="1">
        <f t="array" ref="O28">_xlfn.IFS(C28&lt;=25,"Grade C",C28&lt;=35,"Grade A",C28&lt;=55,"Grade B",C28&gt;55,"Grade D")</f>
        <v>Grade A</v>
      </c>
      <c r="P28" s="6" t="str">
        <f t="shared" si="1"/>
        <v>High</v>
      </c>
    </row>
    <row r="29" spans="1:16" x14ac:dyDescent="0.35">
      <c r="A29" s="1">
        <v>4943286</v>
      </c>
      <c r="B29" s="1" t="str">
        <f>TRIM('Raw Dataset'!B29)</f>
        <v>Nanda Susanti</v>
      </c>
      <c r="C29" s="1">
        <v>52</v>
      </c>
      <c r="D29" s="1" t="s">
        <v>12</v>
      </c>
      <c r="E29" s="8">
        <v>44101</v>
      </c>
      <c r="F29" s="1">
        <v>624509</v>
      </c>
      <c r="G29" s="8">
        <v>44111</v>
      </c>
      <c r="H29" s="1">
        <v>621</v>
      </c>
      <c r="I29" s="9">
        <v>15035175</v>
      </c>
      <c r="J29" s="9">
        <v>12562106</v>
      </c>
      <c r="K29" s="1" t="s">
        <v>30</v>
      </c>
      <c r="L29" s="1" t="str">
        <f>_xlfn.XLOOKUP(K29,Lookup!$G$4:$G$15,Lookup!$F$4:$F$15,"Unmapping",0,1)</f>
        <v>Bali</v>
      </c>
      <c r="M29" s="1" t="str">
        <f>VLOOKUP(H29,Lookup!$C$4:$D$9,2,0)</f>
        <v>Tab Hajj</v>
      </c>
      <c r="N29" s="6" t="str">
        <f t="shared" si="0"/>
        <v>Optimal</v>
      </c>
      <c r="O29" s="6" t="str" cm="1">
        <f t="array" ref="O29">_xlfn.IFS(C29&lt;=25,"Grade C",C29&lt;=35,"Grade A",C29&lt;=55,"Grade B",C29&gt;55,"Grade D")</f>
        <v>Grade B</v>
      </c>
      <c r="P29" s="6" t="str">
        <f t="shared" si="1"/>
        <v>High</v>
      </c>
    </row>
    <row r="30" spans="1:16" x14ac:dyDescent="0.35">
      <c r="A30" s="1">
        <v>1299582</v>
      </c>
      <c r="B30" s="1" t="str">
        <f>TRIM('Raw Dataset'!B30)</f>
        <v>Putri Hidayat</v>
      </c>
      <c r="C30" s="1">
        <v>63</v>
      </c>
      <c r="D30" s="1" t="s">
        <v>15</v>
      </c>
      <c r="E30" s="8">
        <v>44438</v>
      </c>
      <c r="F30" s="1">
        <v>595671</v>
      </c>
      <c r="G30" s="8">
        <v>44448</v>
      </c>
      <c r="H30" s="1">
        <v>620</v>
      </c>
      <c r="I30" s="9">
        <v>19840637</v>
      </c>
      <c r="J30" s="9">
        <v>6874149</v>
      </c>
      <c r="K30" s="1" t="s">
        <v>32</v>
      </c>
      <c r="L30" s="1" t="str">
        <f>_xlfn.XLOOKUP(K30,Lookup!$G$4:$G$15,Lookup!$F$4:$F$15,"Unmapping",0,1)</f>
        <v>Maluku</v>
      </c>
      <c r="M30" s="1" t="str">
        <f>VLOOKUP(H30,Lookup!$C$4:$D$9,2,0)</f>
        <v>Wadiah</v>
      </c>
      <c r="N30" s="6" t="str">
        <f t="shared" si="0"/>
        <v>Optimal</v>
      </c>
      <c r="O30" s="6" t="str" cm="1">
        <f t="array" ref="O30">_xlfn.IFS(C30&lt;=25,"Grade C",C30&lt;=35,"Grade A",C30&lt;=55,"Grade B",C30&gt;55,"Grade D")</f>
        <v>Grade D</v>
      </c>
      <c r="P30" s="6" t="str">
        <f t="shared" si="1"/>
        <v>Middle</v>
      </c>
    </row>
    <row r="31" spans="1:16" x14ac:dyDescent="0.35">
      <c r="A31" s="1">
        <v>7720949</v>
      </c>
      <c r="B31" s="1" t="str">
        <f>TRIM('Raw Dataset'!B31)</f>
        <v>Indah Saputri</v>
      </c>
      <c r="C31" s="1">
        <v>47</v>
      </c>
      <c r="D31" s="1" t="s">
        <v>12</v>
      </c>
      <c r="E31" s="8">
        <v>44071</v>
      </c>
      <c r="F31" s="1">
        <v>867656</v>
      </c>
      <c r="G31" s="8">
        <v>44081</v>
      </c>
      <c r="H31" s="1">
        <v>521</v>
      </c>
      <c r="I31" s="9">
        <v>6499856</v>
      </c>
      <c r="J31" s="9">
        <v>21478502</v>
      </c>
      <c r="K31" s="1" t="s">
        <v>34</v>
      </c>
      <c r="L31" s="1" t="str">
        <f>_xlfn.XLOOKUP(K31,Lookup!$G$4:$G$15,Lookup!$F$4:$F$15,"Unmapping",0,1)</f>
        <v>Sulawesi Utara</v>
      </c>
      <c r="M31" s="1" t="str">
        <f>VLOOKUP(H31,Lookup!$C$4:$D$9,2,0)</f>
        <v>Special Hajj</v>
      </c>
      <c r="N31" s="6" t="str">
        <f t="shared" si="0"/>
        <v>Mass Market</v>
      </c>
      <c r="O31" s="6" t="str" cm="1">
        <f t="array" ref="O31">_xlfn.IFS(C31&lt;=25,"Grade C",C31&lt;=35,"Grade A",C31&lt;=55,"Grade B",C31&gt;55,"Grade D")</f>
        <v>Grade B</v>
      </c>
      <c r="P31" s="6" t="str">
        <f t="shared" si="1"/>
        <v>Low</v>
      </c>
    </row>
    <row r="32" spans="1:16" x14ac:dyDescent="0.35">
      <c r="A32" s="1">
        <v>5509941</v>
      </c>
      <c r="B32" s="1" t="str">
        <f>TRIM('Raw Dataset'!B32)</f>
        <v>Indah Permana</v>
      </c>
      <c r="C32" s="1">
        <v>37</v>
      </c>
      <c r="D32" s="1" t="s">
        <v>12</v>
      </c>
      <c r="E32" s="8">
        <v>44698</v>
      </c>
      <c r="F32" s="1">
        <v>567877</v>
      </c>
      <c r="G32" s="8">
        <v>44708</v>
      </c>
      <c r="H32" s="1">
        <v>621</v>
      </c>
      <c r="I32" s="9">
        <v>17667235</v>
      </c>
      <c r="J32" s="9">
        <v>26564261</v>
      </c>
      <c r="K32" s="1" t="s">
        <v>36</v>
      </c>
      <c r="L32" s="1" t="str">
        <f>_xlfn.XLOOKUP(K32,Lookup!$G$4:$G$15,Lookup!$F$4:$F$15,"Unmapping",0,1)</f>
        <v>Sulawesi Tenggara</v>
      </c>
      <c r="M32" s="1" t="str">
        <f>VLOOKUP(H32,Lookup!$C$4:$D$9,2,0)</f>
        <v>Tab Hajj</v>
      </c>
      <c r="N32" s="6" t="str">
        <f t="shared" si="0"/>
        <v>Optimal</v>
      </c>
      <c r="O32" s="6" t="str" cm="1">
        <f t="array" ref="O32">_xlfn.IFS(C32&lt;=25,"Grade C",C32&lt;=35,"Grade A",C32&lt;=55,"Grade B",C32&gt;55,"Grade D")</f>
        <v>Grade B</v>
      </c>
      <c r="P32" s="6" t="str">
        <f t="shared" si="1"/>
        <v>High</v>
      </c>
    </row>
    <row r="33" spans="1:16" x14ac:dyDescent="0.35">
      <c r="A33" s="1">
        <v>5234443</v>
      </c>
      <c r="B33" s="1" t="str">
        <f>TRIM('Raw Dataset'!B33)</f>
        <v>Fajar Lestari</v>
      </c>
      <c r="C33" s="1">
        <v>31</v>
      </c>
      <c r="D33" s="1" t="s">
        <v>15</v>
      </c>
      <c r="E33" s="8">
        <v>44117</v>
      </c>
      <c r="F33" s="1">
        <v>612788</v>
      </c>
      <c r="G33" s="8">
        <v>44127</v>
      </c>
      <c r="H33" s="1">
        <v>620</v>
      </c>
      <c r="I33" s="9">
        <v>19779502</v>
      </c>
      <c r="J33" s="9">
        <v>8837021</v>
      </c>
      <c r="K33" s="1" t="s">
        <v>18</v>
      </c>
      <c r="L33" s="1" t="str">
        <f>_xlfn.XLOOKUP(K33,Lookup!$G$4:$G$15,Lookup!$F$4:$F$15,"Unmapping",0,1)</f>
        <v>Jawa Tengah</v>
      </c>
      <c r="M33" s="1" t="str">
        <f>VLOOKUP(H33,Lookup!$C$4:$D$9,2,0)</f>
        <v>Wadiah</v>
      </c>
      <c r="N33" s="6" t="str">
        <f t="shared" si="0"/>
        <v>Optimal</v>
      </c>
      <c r="O33" s="6" t="str" cm="1">
        <f t="array" ref="O33">_xlfn.IFS(C33&lt;=25,"Grade C",C33&lt;=35,"Grade A",C33&lt;=55,"Grade B",C33&gt;55,"Grade D")</f>
        <v>Grade A</v>
      </c>
      <c r="P33" s="6" t="str">
        <f t="shared" si="1"/>
        <v>High</v>
      </c>
    </row>
    <row r="34" spans="1:16" x14ac:dyDescent="0.35">
      <c r="A34" s="1">
        <v>1336094</v>
      </c>
      <c r="B34" s="1" t="str">
        <f>TRIM('Raw Dataset'!B34)</f>
        <v>Intan Susanto</v>
      </c>
      <c r="C34" s="1">
        <v>57</v>
      </c>
      <c r="D34" s="1" t="s">
        <v>15</v>
      </c>
      <c r="E34" s="8">
        <v>44596</v>
      </c>
      <c r="F34" s="1">
        <v>892166</v>
      </c>
      <c r="G34" s="8">
        <v>44606</v>
      </c>
      <c r="H34" s="1">
        <v>521</v>
      </c>
      <c r="I34" s="9">
        <v>16911849</v>
      </c>
      <c r="J34" s="9">
        <v>4366385</v>
      </c>
      <c r="K34" s="1" t="s">
        <v>20</v>
      </c>
      <c r="L34" s="1" t="str">
        <f>_xlfn.XLOOKUP(K34,Lookup!$G$4:$G$15,Lookup!$F$4:$F$15,"Unmapping",0,1)</f>
        <v>Jawa Timur</v>
      </c>
      <c r="M34" s="1" t="str">
        <f>VLOOKUP(H34,Lookup!$C$4:$D$9,2,0)</f>
        <v>Special Hajj</v>
      </c>
      <c r="N34" s="6" t="str">
        <f t="shared" si="0"/>
        <v>Optimal</v>
      </c>
      <c r="O34" s="6" t="str" cm="1">
        <f t="array" ref="O34">_xlfn.IFS(C34&lt;=25,"Grade C",C34&lt;=35,"Grade A",C34&lt;=55,"Grade B",C34&gt;55,"Grade D")</f>
        <v>Grade D</v>
      </c>
      <c r="P34" s="6" t="str">
        <f t="shared" si="1"/>
        <v>Middle</v>
      </c>
    </row>
    <row r="35" spans="1:16" x14ac:dyDescent="0.35">
      <c r="A35" s="1">
        <v>3189451</v>
      </c>
      <c r="B35" s="1" t="str">
        <f>TRIM('Raw Dataset'!B35)</f>
        <v>Chandra Saputra</v>
      </c>
      <c r="C35" s="1">
        <v>25</v>
      </c>
      <c r="D35" s="1" t="s">
        <v>12</v>
      </c>
      <c r="E35" s="8">
        <v>44078</v>
      </c>
      <c r="F35" s="1">
        <v>823344</v>
      </c>
      <c r="G35" s="8">
        <v>44088</v>
      </c>
      <c r="H35" s="1">
        <v>621</v>
      </c>
      <c r="I35" s="9">
        <v>12267083</v>
      </c>
      <c r="J35" s="9">
        <v>4936469</v>
      </c>
      <c r="K35" s="1" t="s">
        <v>22</v>
      </c>
      <c r="L35" s="1" t="str">
        <f>_xlfn.XLOOKUP(K35,Lookup!$G$4:$G$15,Lookup!$F$4:$F$15,"Unmapping",0,1)</f>
        <v>Kalimantan</v>
      </c>
      <c r="M35" s="1" t="str">
        <f>VLOOKUP(H35,Lookup!$C$4:$D$9,2,0)</f>
        <v>Tab Hajj</v>
      </c>
      <c r="N35" s="6" t="str">
        <f t="shared" si="0"/>
        <v>Optimal</v>
      </c>
      <c r="O35" s="6" t="str" cm="1">
        <f t="array" ref="O35">_xlfn.IFS(C35&lt;=25,"Grade C",C35&lt;=35,"Grade A",C35&lt;=55,"Grade B",C35&gt;55,"Grade D")</f>
        <v>Grade C</v>
      </c>
      <c r="P35" s="6" t="str">
        <f t="shared" si="1"/>
        <v>Middle</v>
      </c>
    </row>
    <row r="36" spans="1:16" x14ac:dyDescent="0.35">
      <c r="A36" s="1">
        <v>3240019</v>
      </c>
      <c r="B36" s="1" t="str">
        <f>TRIM('Raw Dataset'!B36)</f>
        <v>Budi Sari</v>
      </c>
      <c r="C36" s="1">
        <v>47</v>
      </c>
      <c r="D36" s="1" t="s">
        <v>12</v>
      </c>
      <c r="E36" s="8">
        <v>45061</v>
      </c>
      <c r="F36" s="1">
        <v>258561</v>
      </c>
      <c r="G36" s="8">
        <v>45071</v>
      </c>
      <c r="H36" s="1">
        <v>620</v>
      </c>
      <c r="I36" s="9">
        <v>10790087</v>
      </c>
      <c r="J36" s="9">
        <v>27215431</v>
      </c>
      <c r="K36" s="1" t="s">
        <v>24</v>
      </c>
      <c r="L36" s="1" t="str">
        <f>_xlfn.XLOOKUP(K36,Lookup!$G$4:$G$15,Lookup!$F$4:$F$15,"Unmapping",0,1)</f>
        <v>Sumatera Utara</v>
      </c>
      <c r="M36" s="1" t="str">
        <f>VLOOKUP(H36,Lookup!$C$4:$D$9,2,0)</f>
        <v>Wadiah</v>
      </c>
      <c r="N36" s="6" t="str">
        <f t="shared" si="0"/>
        <v>Optimal</v>
      </c>
      <c r="O36" s="6" t="str" cm="1">
        <f t="array" ref="O36">_xlfn.IFS(C36&lt;=25,"Grade C",C36&lt;=35,"Grade A",C36&lt;=55,"Grade B",C36&gt;55,"Grade D")</f>
        <v>Grade B</v>
      </c>
      <c r="P36" s="6" t="str">
        <f t="shared" si="1"/>
        <v>High</v>
      </c>
    </row>
    <row r="37" spans="1:16" x14ac:dyDescent="0.35">
      <c r="A37" s="1">
        <v>4699242</v>
      </c>
      <c r="B37" s="1" t="str">
        <f>TRIM('Raw Dataset'!B37)</f>
        <v>Eka Putra</v>
      </c>
      <c r="C37" s="1">
        <v>38</v>
      </c>
      <c r="D37" s="1" t="s">
        <v>15</v>
      </c>
      <c r="E37" s="8">
        <v>45699</v>
      </c>
      <c r="F37" s="1">
        <v>454757</v>
      </c>
      <c r="G37" s="8">
        <v>45709</v>
      </c>
      <c r="H37" s="1">
        <v>521</v>
      </c>
      <c r="I37" s="9">
        <v>11874334</v>
      </c>
      <c r="J37" s="9">
        <v>21570732</v>
      </c>
      <c r="K37" s="1" t="s">
        <v>13</v>
      </c>
      <c r="L37" s="1" t="str">
        <f>_xlfn.XLOOKUP(K37,Lookup!$G$4:$G$15,Lookup!$F$4:$F$15,"Unmapping",0,1)</f>
        <v>Jawa Barat</v>
      </c>
      <c r="M37" s="1" t="str">
        <f>VLOOKUP(H37,Lookup!$C$4:$D$9,2,0)</f>
        <v>Special Hajj</v>
      </c>
      <c r="N37" s="6" t="str">
        <f t="shared" si="0"/>
        <v>Optimal</v>
      </c>
      <c r="O37" s="6" t="str" cm="1">
        <f t="array" ref="O37">_xlfn.IFS(C37&lt;=25,"Grade C",C37&lt;=35,"Grade A",C37&lt;=55,"Grade B",C37&gt;55,"Grade D")</f>
        <v>Grade B</v>
      </c>
      <c r="P37" s="6" t="str">
        <f t="shared" si="1"/>
        <v>High</v>
      </c>
    </row>
    <row r="38" spans="1:16" x14ac:dyDescent="0.35">
      <c r="A38" s="1">
        <v>2867802</v>
      </c>
      <c r="B38" s="1" t="str">
        <f>TRIM('Raw Dataset'!B38)</f>
        <v>Fitri Kusuma</v>
      </c>
      <c r="C38" s="1">
        <v>27</v>
      </c>
      <c r="D38" s="1" t="s">
        <v>12</v>
      </c>
      <c r="E38" s="8">
        <v>44352</v>
      </c>
      <c r="F38" s="1">
        <v>566781</v>
      </c>
      <c r="G38" s="8">
        <v>44362</v>
      </c>
      <c r="H38" s="1">
        <v>621</v>
      </c>
      <c r="I38" s="9">
        <v>10150895</v>
      </c>
      <c r="J38" s="9">
        <v>29314589</v>
      </c>
      <c r="K38" s="1" t="s">
        <v>16</v>
      </c>
      <c r="L38" s="1" t="str">
        <f>_xlfn.XLOOKUP(K38,Lookup!$G$4:$G$15,Lookup!$F$4:$F$15,"Unmapping",0,1)</f>
        <v>Sumatera Selatan</v>
      </c>
      <c r="M38" s="1" t="str">
        <f>VLOOKUP(H38,Lookup!$C$4:$D$9,2,0)</f>
        <v>Tab Hajj</v>
      </c>
      <c r="N38" s="6" t="str">
        <f t="shared" si="0"/>
        <v>Optimal</v>
      </c>
      <c r="O38" s="6" t="str" cm="1">
        <f t="array" ref="O38">_xlfn.IFS(C38&lt;=25,"Grade C",C38&lt;=35,"Grade A",C38&lt;=55,"Grade B",C38&gt;55,"Grade D")</f>
        <v>Grade A</v>
      </c>
      <c r="P38" s="6" t="str">
        <f t="shared" si="1"/>
        <v>High</v>
      </c>
    </row>
    <row r="39" spans="1:16" x14ac:dyDescent="0.35">
      <c r="A39" s="1">
        <v>2136937</v>
      </c>
      <c r="B39" s="1" t="str">
        <f>TRIM('Raw Dataset'!B39)</f>
        <v>Fajar Susanti</v>
      </c>
      <c r="C39" s="1">
        <v>23</v>
      </c>
      <c r="D39" s="1" t="s">
        <v>15</v>
      </c>
      <c r="E39" s="8">
        <v>44587</v>
      </c>
      <c r="F39" s="1">
        <v>271562</v>
      </c>
      <c r="G39" s="8">
        <v>44597</v>
      </c>
      <c r="H39" s="1">
        <v>620</v>
      </c>
      <c r="I39" s="9">
        <v>19099072</v>
      </c>
      <c r="J39" s="9">
        <v>8149661</v>
      </c>
      <c r="K39" s="1" t="s">
        <v>18</v>
      </c>
      <c r="L39" s="1" t="str">
        <f>_xlfn.XLOOKUP(K39,Lookup!$G$4:$G$15,Lookup!$F$4:$F$15,"Unmapping",0,1)</f>
        <v>Jawa Tengah</v>
      </c>
      <c r="M39" s="1" t="str">
        <f>VLOOKUP(H39,Lookup!$C$4:$D$9,2,0)</f>
        <v>Wadiah</v>
      </c>
      <c r="N39" s="6" t="str">
        <f t="shared" si="0"/>
        <v>Optimal</v>
      </c>
      <c r="O39" s="6" t="str" cm="1">
        <f t="array" ref="O39">_xlfn.IFS(C39&lt;=25,"Grade C",C39&lt;=35,"Grade A",C39&lt;=55,"Grade B",C39&gt;55,"Grade D")</f>
        <v>Grade C</v>
      </c>
      <c r="P39" s="6" t="str">
        <f t="shared" si="1"/>
        <v>Middle</v>
      </c>
    </row>
    <row r="40" spans="1:16" x14ac:dyDescent="0.35">
      <c r="A40" s="1">
        <v>3128151</v>
      </c>
      <c r="B40" s="1" t="str">
        <f>TRIM('Raw Dataset'!B40)</f>
        <v>Hadi Santoso</v>
      </c>
      <c r="C40" s="1">
        <v>33</v>
      </c>
      <c r="D40" s="1" t="s">
        <v>12</v>
      </c>
      <c r="E40" s="8">
        <v>45323</v>
      </c>
      <c r="F40" s="1">
        <v>314114</v>
      </c>
      <c r="G40" s="8">
        <v>45333</v>
      </c>
      <c r="H40" s="1">
        <v>521</v>
      </c>
      <c r="I40" s="9">
        <v>6664500</v>
      </c>
      <c r="J40" s="9">
        <v>12411708</v>
      </c>
      <c r="K40" s="1" t="s">
        <v>13</v>
      </c>
      <c r="L40" s="1" t="str">
        <f>_xlfn.XLOOKUP(K40,Lookup!$G$4:$G$15,Lookup!$F$4:$F$15,"Unmapping",0,1)</f>
        <v>Jawa Barat</v>
      </c>
      <c r="M40" s="1" t="str">
        <f>VLOOKUP(H40,Lookup!$C$4:$D$9,2,0)</f>
        <v>Special Hajj</v>
      </c>
      <c r="N40" s="6" t="str">
        <f t="shared" si="0"/>
        <v>Mass Market</v>
      </c>
      <c r="O40" s="6" t="str" cm="1">
        <f t="array" ref="O40">_xlfn.IFS(C40&lt;=25,"Grade C",C40&lt;=35,"Grade A",C40&lt;=55,"Grade B",C40&gt;55,"Grade D")</f>
        <v>Grade A</v>
      </c>
      <c r="P40" s="6" t="str">
        <f t="shared" si="1"/>
        <v>Low</v>
      </c>
    </row>
    <row r="41" spans="1:16" x14ac:dyDescent="0.35">
      <c r="A41" s="1">
        <v>5927810</v>
      </c>
      <c r="B41" s="1" t="str">
        <f>TRIM('Raw Dataset'!B41)</f>
        <v>Erna Putra</v>
      </c>
      <c r="C41" s="1">
        <v>17</v>
      </c>
      <c r="D41" s="1" t="s">
        <v>15</v>
      </c>
      <c r="E41" s="8">
        <v>45136</v>
      </c>
      <c r="F41" s="1">
        <v>601026</v>
      </c>
      <c r="G41" s="8">
        <v>45146</v>
      </c>
      <c r="H41" s="1">
        <v>621</v>
      </c>
      <c r="I41" s="9">
        <v>13891439</v>
      </c>
      <c r="J41" s="9">
        <v>19951382</v>
      </c>
      <c r="K41" s="1" t="s">
        <v>16</v>
      </c>
      <c r="L41" s="1" t="str">
        <f>_xlfn.XLOOKUP(K41,Lookup!$G$4:$G$15,Lookup!$F$4:$F$15,"Unmapping",0,1)</f>
        <v>Sumatera Selatan</v>
      </c>
      <c r="M41" s="1" t="str">
        <f>VLOOKUP(H41,Lookup!$C$4:$D$9,2,0)</f>
        <v>Tab Hajj</v>
      </c>
      <c r="N41" s="6" t="str">
        <f t="shared" si="0"/>
        <v>Optimal</v>
      </c>
      <c r="O41" s="6" t="str" cm="1">
        <f t="array" ref="O41">_xlfn.IFS(C41&lt;=25,"Grade C",C41&lt;=35,"Grade A",C41&lt;=55,"Grade B",C41&gt;55,"Grade D")</f>
        <v>Grade C</v>
      </c>
      <c r="P41" s="6" t="str">
        <f t="shared" si="1"/>
        <v>Middle</v>
      </c>
    </row>
    <row r="42" spans="1:16" x14ac:dyDescent="0.35">
      <c r="A42" s="1">
        <v>7768822</v>
      </c>
      <c r="B42" s="1" t="str">
        <f>TRIM('Raw Dataset'!B42)</f>
        <v>Putri Wibowo</v>
      </c>
      <c r="C42" s="1">
        <v>36</v>
      </c>
      <c r="D42" s="1" t="s">
        <v>15</v>
      </c>
      <c r="E42" s="8">
        <v>45680</v>
      </c>
      <c r="F42" s="1">
        <v>448751</v>
      </c>
      <c r="G42" s="8">
        <v>45690</v>
      </c>
      <c r="H42" s="1">
        <v>620</v>
      </c>
      <c r="I42" s="9">
        <v>12317440</v>
      </c>
      <c r="J42" s="9">
        <v>26703716</v>
      </c>
      <c r="K42" s="1" t="s">
        <v>18</v>
      </c>
      <c r="L42" s="1" t="str">
        <f>_xlfn.XLOOKUP(K42,Lookup!$G$4:$G$15,Lookup!$F$4:$F$15,"Unmapping",0,1)</f>
        <v>Jawa Tengah</v>
      </c>
      <c r="M42" s="1" t="str">
        <f>VLOOKUP(H42,Lookup!$C$4:$D$9,2,0)</f>
        <v>Wadiah</v>
      </c>
      <c r="N42" s="6" t="str">
        <f t="shared" si="0"/>
        <v>Optimal</v>
      </c>
      <c r="O42" s="6" t="str" cm="1">
        <f t="array" ref="O42">_xlfn.IFS(C42&lt;=25,"Grade C",C42&lt;=35,"Grade A",C42&lt;=55,"Grade B",C42&gt;55,"Grade D")</f>
        <v>Grade B</v>
      </c>
      <c r="P42" s="6" t="str">
        <f t="shared" si="1"/>
        <v>High</v>
      </c>
    </row>
    <row r="43" spans="1:16" x14ac:dyDescent="0.35">
      <c r="A43" s="1">
        <v>3654687</v>
      </c>
      <c r="B43" s="1" t="str">
        <f>TRIM('Raw Dataset'!B43)</f>
        <v>Gilang Syahputra</v>
      </c>
      <c r="C43" s="1">
        <v>47</v>
      </c>
      <c r="D43" s="1" t="s">
        <v>15</v>
      </c>
      <c r="E43" s="8">
        <v>43885</v>
      </c>
      <c r="F43" s="1">
        <v>740410</v>
      </c>
      <c r="G43" s="8">
        <v>43895</v>
      </c>
      <c r="H43" s="1">
        <v>521</v>
      </c>
      <c r="I43" s="9">
        <v>14755763</v>
      </c>
      <c r="J43" s="9">
        <v>22759108</v>
      </c>
      <c r="K43" s="1" t="s">
        <v>20</v>
      </c>
      <c r="L43" s="1" t="str">
        <f>_xlfn.XLOOKUP(K43,Lookup!$G$4:$G$15,Lookup!$F$4:$F$15,"Unmapping",0,1)</f>
        <v>Jawa Timur</v>
      </c>
      <c r="M43" s="1" t="str">
        <f>VLOOKUP(H43,Lookup!$C$4:$D$9,2,0)</f>
        <v>Special Hajj</v>
      </c>
      <c r="N43" s="6" t="str">
        <f t="shared" si="0"/>
        <v>Optimal</v>
      </c>
      <c r="O43" s="6" t="str" cm="1">
        <f t="array" ref="O43">_xlfn.IFS(C43&lt;=25,"Grade C",C43&lt;=35,"Grade A",C43&lt;=55,"Grade B",C43&gt;55,"Grade D")</f>
        <v>Grade B</v>
      </c>
      <c r="P43" s="6" t="str">
        <f t="shared" si="1"/>
        <v>High</v>
      </c>
    </row>
    <row r="44" spans="1:16" x14ac:dyDescent="0.35">
      <c r="A44" s="1">
        <v>7586399</v>
      </c>
      <c r="B44" s="1" t="str">
        <f>TRIM('Raw Dataset'!B44)</f>
        <v>Bayu Nugroho</v>
      </c>
      <c r="C44" s="1">
        <v>62</v>
      </c>
      <c r="D44" s="1" t="s">
        <v>15</v>
      </c>
      <c r="E44" s="8">
        <v>44910</v>
      </c>
      <c r="F44" s="1">
        <v>508850</v>
      </c>
      <c r="G44" s="8">
        <v>44920</v>
      </c>
      <c r="H44" s="1">
        <v>712</v>
      </c>
      <c r="I44" s="9">
        <v>7319461</v>
      </c>
      <c r="J44" s="9">
        <v>7179407</v>
      </c>
      <c r="K44" s="1" t="s">
        <v>30</v>
      </c>
      <c r="L44" s="1" t="str">
        <f>_xlfn.XLOOKUP(K44,Lookup!$G$4:$G$15,Lookup!$F$4:$F$15,"Unmapping",0,1)</f>
        <v>Bali</v>
      </c>
      <c r="M44" s="1" t="str">
        <f>VLOOKUP(H44,Lookup!$C$4:$D$9,2,0)</f>
        <v>Tab Syariah</v>
      </c>
      <c r="N44" s="6" t="str">
        <f t="shared" si="0"/>
        <v>Mass Market</v>
      </c>
      <c r="O44" s="6" t="str" cm="1">
        <f t="array" ref="O44">_xlfn.IFS(C44&lt;=25,"Grade C",C44&lt;=35,"Grade A",C44&lt;=55,"Grade B",C44&gt;55,"Grade D")</f>
        <v>Grade D</v>
      </c>
      <c r="P44" s="6" t="str">
        <f t="shared" si="1"/>
        <v>Low</v>
      </c>
    </row>
    <row r="45" spans="1:16" x14ac:dyDescent="0.35">
      <c r="A45" s="1">
        <v>4187863</v>
      </c>
      <c r="B45" s="1" t="str">
        <f>TRIM('Raw Dataset'!B45)</f>
        <v>Maya Wijaya</v>
      </c>
      <c r="C45" s="1">
        <v>32</v>
      </c>
      <c r="D45" s="1" t="s">
        <v>12</v>
      </c>
      <c r="E45" s="8">
        <v>44156</v>
      </c>
      <c r="F45" s="1">
        <v>861263</v>
      </c>
      <c r="G45" s="8">
        <v>44166</v>
      </c>
      <c r="H45" s="1">
        <v>712</v>
      </c>
      <c r="I45" s="9">
        <v>5527170</v>
      </c>
      <c r="J45" s="9">
        <v>3643301</v>
      </c>
      <c r="K45" s="1" t="s">
        <v>32</v>
      </c>
      <c r="L45" s="1" t="str">
        <f>_xlfn.XLOOKUP(K45,Lookup!$G$4:$G$15,Lookup!$F$4:$F$15,"Unmapping",0,1)</f>
        <v>Maluku</v>
      </c>
      <c r="M45" s="1" t="str">
        <f>VLOOKUP(H45,Lookup!$C$4:$D$9,2,0)</f>
        <v>Tab Syariah</v>
      </c>
      <c r="N45" s="6" t="str">
        <f t="shared" si="0"/>
        <v>Mass Market</v>
      </c>
      <c r="O45" s="6" t="str" cm="1">
        <f t="array" ref="O45">_xlfn.IFS(C45&lt;=25,"Grade C",C45&lt;=35,"Grade A",C45&lt;=55,"Grade B",C45&gt;55,"Grade D")</f>
        <v>Grade A</v>
      </c>
      <c r="P45" s="6" t="str">
        <f t="shared" si="1"/>
        <v>Low</v>
      </c>
    </row>
    <row r="46" spans="1:16" x14ac:dyDescent="0.35">
      <c r="A46" s="1">
        <v>4815127</v>
      </c>
      <c r="B46" s="1" t="str">
        <f>TRIM('Raw Dataset'!B46)</f>
        <v>Erna Wibowo</v>
      </c>
      <c r="C46" s="1">
        <v>35</v>
      </c>
      <c r="D46" s="1" t="s">
        <v>12</v>
      </c>
      <c r="E46" s="8">
        <v>43863</v>
      </c>
      <c r="F46" s="1">
        <v>367384</v>
      </c>
      <c r="G46" s="8">
        <v>43873</v>
      </c>
      <c r="H46" s="1">
        <v>712</v>
      </c>
      <c r="I46" s="9">
        <v>8046824</v>
      </c>
      <c r="J46" s="9">
        <v>16134032</v>
      </c>
      <c r="K46" s="1" t="s">
        <v>34</v>
      </c>
      <c r="L46" s="1" t="str">
        <f>_xlfn.XLOOKUP(K46,Lookup!$G$4:$G$15,Lookup!$F$4:$F$15,"Unmapping",0,1)</f>
        <v>Sulawesi Utara</v>
      </c>
      <c r="M46" s="1" t="str">
        <f>VLOOKUP(H46,Lookup!$C$4:$D$9,2,0)</f>
        <v>Tab Syariah</v>
      </c>
      <c r="N46" s="6" t="str">
        <f t="shared" si="0"/>
        <v>Mass Market</v>
      </c>
      <c r="O46" s="6" t="str" cm="1">
        <f t="array" ref="O46">_xlfn.IFS(C46&lt;=25,"Grade C",C46&lt;=35,"Grade A",C46&lt;=55,"Grade B",C46&gt;55,"Grade D")</f>
        <v>Grade A</v>
      </c>
      <c r="P46" s="6" t="str">
        <f t="shared" si="1"/>
        <v>Low</v>
      </c>
    </row>
    <row r="47" spans="1:16" x14ac:dyDescent="0.35">
      <c r="A47" s="1">
        <v>4939445</v>
      </c>
      <c r="B47" s="1" t="str">
        <f>TRIM('Raw Dataset'!B47)</f>
        <v>Nanda Putra</v>
      </c>
      <c r="C47" s="1">
        <v>63</v>
      </c>
      <c r="D47" s="1" t="s">
        <v>12</v>
      </c>
      <c r="E47" s="8">
        <v>45649</v>
      </c>
      <c r="F47" s="1">
        <v>581196</v>
      </c>
      <c r="G47" s="8">
        <v>45659</v>
      </c>
      <c r="H47" s="1">
        <v>712</v>
      </c>
      <c r="I47" s="9">
        <v>16639440</v>
      </c>
      <c r="J47" s="9">
        <v>11869770</v>
      </c>
      <c r="K47" s="1" t="s">
        <v>36</v>
      </c>
      <c r="L47" s="1" t="str">
        <f>_xlfn.XLOOKUP(K47,Lookup!$G$4:$G$15,Lookup!$F$4:$F$15,"Unmapping",0,1)</f>
        <v>Sulawesi Tenggara</v>
      </c>
      <c r="M47" s="1" t="str">
        <f>VLOOKUP(H47,Lookup!$C$4:$D$9,2,0)</f>
        <v>Tab Syariah</v>
      </c>
      <c r="N47" s="6" t="str">
        <f t="shared" si="0"/>
        <v>Optimal</v>
      </c>
      <c r="O47" s="6" t="str" cm="1">
        <f t="array" ref="O47">_xlfn.IFS(C47&lt;=25,"Grade C",C47&lt;=35,"Grade A",C47&lt;=55,"Grade B",C47&gt;55,"Grade D")</f>
        <v>Grade D</v>
      </c>
      <c r="P47" s="6" t="str">
        <f t="shared" si="1"/>
        <v>Middle</v>
      </c>
    </row>
    <row r="48" spans="1:16" x14ac:dyDescent="0.35">
      <c r="A48" s="1">
        <v>3323507</v>
      </c>
      <c r="B48" s="1" t="str">
        <f>TRIM('Raw Dataset'!B48)</f>
        <v>Maya Lestari</v>
      </c>
      <c r="C48" s="1">
        <v>35</v>
      </c>
      <c r="D48" s="1" t="s">
        <v>15</v>
      </c>
      <c r="E48" s="8">
        <v>44937</v>
      </c>
      <c r="F48" s="1">
        <v>919522</v>
      </c>
      <c r="G48" s="8">
        <v>44947</v>
      </c>
      <c r="H48" s="1">
        <v>712</v>
      </c>
      <c r="I48" s="9">
        <v>13271810</v>
      </c>
      <c r="J48" s="9">
        <v>6936306</v>
      </c>
      <c r="K48" s="1" t="s">
        <v>18</v>
      </c>
      <c r="L48" s="1" t="str">
        <f>_xlfn.XLOOKUP(K48,Lookup!$G$4:$G$15,Lookup!$F$4:$F$15,"Unmapping",0,1)</f>
        <v>Jawa Tengah</v>
      </c>
      <c r="M48" s="1" t="str">
        <f>VLOOKUP(H48,Lookup!$C$4:$D$9,2,0)</f>
        <v>Tab Syariah</v>
      </c>
      <c r="N48" s="6" t="str">
        <f t="shared" si="0"/>
        <v>Optimal</v>
      </c>
      <c r="O48" s="6" t="str" cm="1">
        <f t="array" ref="O48">_xlfn.IFS(C48&lt;=25,"Grade C",C48&lt;=35,"Grade A",C48&lt;=55,"Grade B",C48&gt;55,"Grade D")</f>
        <v>Grade A</v>
      </c>
      <c r="P48" s="6" t="str">
        <f t="shared" si="1"/>
        <v>High</v>
      </c>
    </row>
    <row r="49" spans="1:16" x14ac:dyDescent="0.35">
      <c r="A49" s="1">
        <v>1204998</v>
      </c>
      <c r="B49" s="1" t="str">
        <f>TRIM('Raw Dataset'!B49)</f>
        <v>Indah Susanti</v>
      </c>
      <c r="C49" s="1">
        <v>25</v>
      </c>
      <c r="D49" s="1" t="s">
        <v>12</v>
      </c>
      <c r="E49" s="8">
        <v>45529</v>
      </c>
      <c r="F49" s="1">
        <v>621052</v>
      </c>
      <c r="G49" s="8">
        <v>45539</v>
      </c>
      <c r="H49" s="1">
        <v>712</v>
      </c>
      <c r="I49" s="9">
        <v>17834297</v>
      </c>
      <c r="J49" s="9">
        <v>4756766</v>
      </c>
      <c r="K49" s="1" t="s">
        <v>20</v>
      </c>
      <c r="L49" s="1" t="str">
        <f>_xlfn.XLOOKUP(K49,Lookup!$G$4:$G$15,Lookup!$F$4:$F$15,"Unmapping",0,1)</f>
        <v>Jawa Timur</v>
      </c>
      <c r="M49" s="1" t="str">
        <f>VLOOKUP(H49,Lookup!$C$4:$D$9,2,0)</f>
        <v>Tab Syariah</v>
      </c>
      <c r="N49" s="6" t="str">
        <f t="shared" si="0"/>
        <v>Optimal</v>
      </c>
      <c r="O49" s="6" t="str" cm="1">
        <f t="array" ref="O49">_xlfn.IFS(C49&lt;=25,"Grade C",C49&lt;=35,"Grade A",C49&lt;=55,"Grade B",C49&gt;55,"Grade D")</f>
        <v>Grade C</v>
      </c>
      <c r="P49" s="6" t="str">
        <f t="shared" si="1"/>
        <v>Middle</v>
      </c>
    </row>
    <row r="50" spans="1:16" x14ac:dyDescent="0.35">
      <c r="A50" s="1">
        <v>6802871</v>
      </c>
      <c r="B50" s="1" t="str">
        <f>TRIM('Raw Dataset'!B50)</f>
        <v>Nanda Sari</v>
      </c>
      <c r="C50" s="1">
        <v>50</v>
      </c>
      <c r="D50" s="1" t="s">
        <v>15</v>
      </c>
      <c r="E50" s="8">
        <v>44736</v>
      </c>
      <c r="F50" s="1">
        <v>280903</v>
      </c>
      <c r="G50" s="8">
        <v>44746</v>
      </c>
      <c r="H50" s="1">
        <v>712</v>
      </c>
      <c r="I50" s="9">
        <v>15194618</v>
      </c>
      <c r="J50" s="9">
        <v>3957314</v>
      </c>
      <c r="K50" s="1" t="s">
        <v>22</v>
      </c>
      <c r="L50" s="1" t="str">
        <f>_xlfn.XLOOKUP(K50,Lookup!$G$4:$G$15,Lookup!$F$4:$F$15,"Unmapping",0,1)</f>
        <v>Kalimantan</v>
      </c>
      <c r="M50" s="1" t="str">
        <f>VLOOKUP(H50,Lookup!$C$4:$D$9,2,0)</f>
        <v>Tab Syariah</v>
      </c>
      <c r="N50" s="6" t="str">
        <f t="shared" si="0"/>
        <v>Optimal</v>
      </c>
      <c r="O50" s="6" t="str" cm="1">
        <f t="array" ref="O50">_xlfn.IFS(C50&lt;=25,"Grade C",C50&lt;=35,"Grade A",C50&lt;=55,"Grade B",C50&gt;55,"Grade D")</f>
        <v>Grade B</v>
      </c>
      <c r="P50" s="6" t="str">
        <f t="shared" si="1"/>
        <v>High</v>
      </c>
    </row>
    <row r="51" spans="1:16" x14ac:dyDescent="0.35">
      <c r="A51" s="1">
        <v>1894133</v>
      </c>
      <c r="B51" s="1" t="str">
        <f>TRIM('Raw Dataset'!B51)</f>
        <v>Joko Hidayat</v>
      </c>
      <c r="C51" s="1">
        <v>16</v>
      </c>
      <c r="D51" s="1" t="s">
        <v>15</v>
      </c>
      <c r="E51" s="8">
        <v>45469</v>
      </c>
      <c r="F51" s="1">
        <v>724214</v>
      </c>
      <c r="G51" s="8">
        <v>45479</v>
      </c>
      <c r="H51" s="1">
        <v>712</v>
      </c>
      <c r="I51" s="9">
        <v>18099027</v>
      </c>
      <c r="J51" s="9">
        <v>11220974</v>
      </c>
      <c r="K51" s="1" t="s">
        <v>24</v>
      </c>
      <c r="L51" s="1" t="str">
        <f>_xlfn.XLOOKUP(K51,Lookup!$G$4:$G$15,Lookup!$F$4:$F$15,"Unmapping",0,1)</f>
        <v>Sumatera Utara</v>
      </c>
      <c r="M51" s="1" t="str">
        <f>VLOOKUP(H51,Lookup!$C$4:$D$9,2,0)</f>
        <v>Tab Syariah</v>
      </c>
      <c r="N51" s="6" t="str">
        <f t="shared" si="0"/>
        <v>Optimal</v>
      </c>
      <c r="O51" s="6" t="str" cm="1">
        <f t="array" ref="O51">_xlfn.IFS(C51&lt;=25,"Grade C",C51&lt;=35,"Grade A",C51&lt;=55,"Grade B",C51&gt;55,"Grade D")</f>
        <v>Grade C</v>
      </c>
      <c r="P51" s="6" t="str">
        <f t="shared" si="1"/>
        <v>Middle</v>
      </c>
    </row>
    <row r="52" spans="1:16" x14ac:dyDescent="0.35">
      <c r="A52" s="1">
        <v>6126785</v>
      </c>
      <c r="B52" s="1" t="str">
        <f>TRIM('Raw Dataset'!B52)</f>
        <v>Yudi Ramadhan</v>
      </c>
      <c r="C52" s="1">
        <v>50</v>
      </c>
      <c r="D52" s="1" t="s">
        <v>15</v>
      </c>
      <c r="E52" s="8">
        <v>45747</v>
      </c>
      <c r="F52" s="1">
        <v>612440</v>
      </c>
      <c r="G52" s="8">
        <v>45757</v>
      </c>
      <c r="H52" s="1">
        <v>712</v>
      </c>
      <c r="I52" s="9">
        <v>8060959</v>
      </c>
      <c r="J52" s="9">
        <v>4015191</v>
      </c>
      <c r="K52" s="1" t="s">
        <v>13</v>
      </c>
      <c r="L52" s="1" t="str">
        <f>_xlfn.XLOOKUP(K52,Lookup!$G$4:$G$15,Lookup!$F$4:$F$15,"Unmapping",0,1)</f>
        <v>Jawa Barat</v>
      </c>
      <c r="M52" s="1" t="str">
        <f>VLOOKUP(H52,Lookup!$C$4:$D$9,2,0)</f>
        <v>Tab Syariah</v>
      </c>
      <c r="N52" s="6" t="str">
        <f t="shared" si="0"/>
        <v>Mass Market</v>
      </c>
      <c r="O52" s="6" t="str" cm="1">
        <f t="array" ref="O52">_xlfn.IFS(C52&lt;=25,"Grade C",C52&lt;=35,"Grade A",C52&lt;=55,"Grade B",C52&gt;55,"Grade D")</f>
        <v>Grade B</v>
      </c>
      <c r="P52" s="6" t="str">
        <f t="shared" si="1"/>
        <v>Low</v>
      </c>
    </row>
    <row r="53" spans="1:16" x14ac:dyDescent="0.35">
      <c r="A53" s="1">
        <v>4296337</v>
      </c>
      <c r="B53" s="1" t="str">
        <f>TRIM('Raw Dataset'!B53)</f>
        <v>Sinta Kurniawan</v>
      </c>
      <c r="C53" s="1">
        <v>58</v>
      </c>
      <c r="D53" s="1" t="s">
        <v>12</v>
      </c>
      <c r="E53" s="8">
        <v>44371</v>
      </c>
      <c r="F53" s="1">
        <v>382953</v>
      </c>
      <c r="G53" s="8">
        <v>44381</v>
      </c>
      <c r="H53" s="1">
        <v>712</v>
      </c>
      <c r="I53" s="9">
        <v>8053265</v>
      </c>
      <c r="J53" s="9">
        <v>28924534</v>
      </c>
      <c r="K53" s="1" t="s">
        <v>16</v>
      </c>
      <c r="L53" s="1" t="str">
        <f>_xlfn.XLOOKUP(K53,Lookup!$G$4:$G$15,Lookup!$F$4:$F$15,"Unmapping",0,1)</f>
        <v>Sumatera Selatan</v>
      </c>
      <c r="M53" s="1" t="str">
        <f>VLOOKUP(H53,Lookup!$C$4:$D$9,2,0)</f>
        <v>Tab Syariah</v>
      </c>
      <c r="N53" s="6" t="str">
        <f t="shared" si="0"/>
        <v>Mass Market</v>
      </c>
      <c r="O53" s="6" t="str" cm="1">
        <f t="array" ref="O53">_xlfn.IFS(C53&lt;=25,"Grade C",C53&lt;=35,"Grade A",C53&lt;=55,"Grade B",C53&gt;55,"Grade D")</f>
        <v>Grade D</v>
      </c>
      <c r="P53" s="6" t="str">
        <f t="shared" si="1"/>
        <v>Low</v>
      </c>
    </row>
    <row r="54" spans="1:16" x14ac:dyDescent="0.35">
      <c r="A54" s="1">
        <v>4211498</v>
      </c>
      <c r="B54" s="1" t="str">
        <f>TRIM('Raw Dataset'!B54)</f>
        <v>Maya Wibowo</v>
      </c>
      <c r="C54" s="1">
        <v>46</v>
      </c>
      <c r="D54" s="1" t="s">
        <v>12</v>
      </c>
      <c r="E54" s="8">
        <v>44607</v>
      </c>
      <c r="F54" s="1">
        <v>669194</v>
      </c>
      <c r="G54" s="8">
        <v>44617</v>
      </c>
      <c r="H54" s="1">
        <v>712</v>
      </c>
      <c r="I54" s="9">
        <v>11343322</v>
      </c>
      <c r="J54" s="9">
        <v>9826103</v>
      </c>
      <c r="K54" s="1" t="s">
        <v>18</v>
      </c>
      <c r="L54" s="1" t="str">
        <f>_xlfn.XLOOKUP(K54,Lookup!$G$4:$G$15,Lookup!$F$4:$F$15,"Unmapping",0,1)</f>
        <v>Jawa Tengah</v>
      </c>
      <c r="M54" s="1" t="str">
        <f>VLOOKUP(H54,Lookup!$C$4:$D$9,2,0)</f>
        <v>Tab Syariah</v>
      </c>
      <c r="N54" s="6" t="str">
        <f t="shared" si="0"/>
        <v>Optimal</v>
      </c>
      <c r="O54" s="6" t="str" cm="1">
        <f t="array" ref="O54">_xlfn.IFS(C54&lt;=25,"Grade C",C54&lt;=35,"Grade A",C54&lt;=55,"Grade B",C54&gt;55,"Grade D")</f>
        <v>Grade B</v>
      </c>
      <c r="P54" s="6" t="str">
        <f t="shared" si="1"/>
        <v>High</v>
      </c>
    </row>
    <row r="55" spans="1:16" x14ac:dyDescent="0.35">
      <c r="A55" s="1">
        <v>8868806</v>
      </c>
      <c r="B55" s="1" t="str">
        <f>TRIM('Raw Dataset'!B55)</f>
        <v>Teguh Santoso</v>
      </c>
      <c r="C55" s="1">
        <v>41</v>
      </c>
      <c r="D55" s="1" t="s">
        <v>15</v>
      </c>
      <c r="E55" s="8">
        <v>44130</v>
      </c>
      <c r="F55" s="1">
        <v>263382</v>
      </c>
      <c r="G55" s="8">
        <v>44140</v>
      </c>
      <c r="H55" s="1">
        <v>712</v>
      </c>
      <c r="I55" s="9">
        <v>7406005</v>
      </c>
      <c r="J55" s="9">
        <v>18618038</v>
      </c>
      <c r="K55" s="1" t="s">
        <v>20</v>
      </c>
      <c r="L55" s="1" t="str">
        <f>_xlfn.XLOOKUP(K55,Lookup!$G$4:$G$15,Lookup!$F$4:$F$15,"Unmapping",0,1)</f>
        <v>Jawa Timur</v>
      </c>
      <c r="M55" s="1" t="str">
        <f>VLOOKUP(H55,Lookup!$C$4:$D$9,2,0)</f>
        <v>Tab Syariah</v>
      </c>
      <c r="N55" s="6" t="str">
        <f t="shared" si="0"/>
        <v>Mass Market</v>
      </c>
      <c r="O55" s="6" t="str" cm="1">
        <f t="array" ref="O55">_xlfn.IFS(C55&lt;=25,"Grade C",C55&lt;=35,"Grade A",C55&lt;=55,"Grade B",C55&gt;55,"Grade D")</f>
        <v>Grade B</v>
      </c>
      <c r="P55" s="6" t="str">
        <f t="shared" si="1"/>
        <v>Low</v>
      </c>
    </row>
    <row r="56" spans="1:16" x14ac:dyDescent="0.35">
      <c r="A56" s="1">
        <v>7967268</v>
      </c>
      <c r="B56" s="1" t="str">
        <f>TRIM('Raw Dataset'!B56)</f>
        <v>Ahmad Handoko</v>
      </c>
      <c r="C56" s="1">
        <v>53</v>
      </c>
      <c r="D56" s="1" t="s">
        <v>15</v>
      </c>
      <c r="E56" s="8">
        <v>43890</v>
      </c>
      <c r="F56" s="1">
        <v>850429</v>
      </c>
      <c r="G56" s="8">
        <v>43900</v>
      </c>
      <c r="H56" s="1">
        <v>712</v>
      </c>
      <c r="I56" s="9">
        <v>1296036</v>
      </c>
      <c r="J56" s="9">
        <v>2917443</v>
      </c>
      <c r="K56" s="1" t="s">
        <v>22</v>
      </c>
      <c r="L56" s="1" t="str">
        <f>_xlfn.XLOOKUP(K56,Lookup!$G$4:$G$15,Lookup!$F$4:$F$15,"Unmapping",0,1)</f>
        <v>Kalimantan</v>
      </c>
      <c r="M56" s="1" t="str">
        <f>VLOOKUP(H56,Lookup!$C$4:$D$9,2,0)</f>
        <v>Tab Syariah</v>
      </c>
      <c r="N56" s="6" t="str">
        <f t="shared" si="0"/>
        <v>Mass Market</v>
      </c>
      <c r="O56" s="6" t="str" cm="1">
        <f t="array" ref="O56">_xlfn.IFS(C56&lt;=25,"Grade C",C56&lt;=35,"Grade A",C56&lt;=55,"Grade B",C56&gt;55,"Grade D")</f>
        <v>Grade B</v>
      </c>
      <c r="P56" s="6" t="str">
        <f t="shared" si="1"/>
        <v>Low</v>
      </c>
    </row>
    <row r="57" spans="1:16" x14ac:dyDescent="0.35">
      <c r="A57" s="1">
        <v>5085108</v>
      </c>
      <c r="B57" s="1" t="str">
        <f>TRIM('Raw Dataset'!B57)</f>
        <v>Chandra Nugroho</v>
      </c>
      <c r="C57" s="1">
        <v>34</v>
      </c>
      <c r="D57" s="1" t="s">
        <v>15</v>
      </c>
      <c r="E57" s="8">
        <v>44014</v>
      </c>
      <c r="F57" s="1">
        <v>782353</v>
      </c>
      <c r="G57" s="8">
        <v>44024</v>
      </c>
      <c r="H57" s="1">
        <v>712</v>
      </c>
      <c r="I57" s="9">
        <v>5916064</v>
      </c>
      <c r="J57" s="9">
        <v>2462488</v>
      </c>
      <c r="K57" s="1" t="s">
        <v>24</v>
      </c>
      <c r="L57" s="1" t="str">
        <f>_xlfn.XLOOKUP(K57,Lookup!$G$4:$G$15,Lookup!$F$4:$F$15,"Unmapping",0,1)</f>
        <v>Sumatera Utara</v>
      </c>
      <c r="M57" s="1" t="str">
        <f>VLOOKUP(H57,Lookup!$C$4:$D$9,2,0)</f>
        <v>Tab Syariah</v>
      </c>
      <c r="N57" s="6" t="str">
        <f t="shared" si="0"/>
        <v>Mass Market</v>
      </c>
      <c r="O57" s="6" t="str" cm="1">
        <f t="array" ref="O57">_xlfn.IFS(C57&lt;=25,"Grade C",C57&lt;=35,"Grade A",C57&lt;=55,"Grade B",C57&gt;55,"Grade D")</f>
        <v>Grade A</v>
      </c>
      <c r="P57" s="6" t="str">
        <f t="shared" si="1"/>
        <v>Low</v>
      </c>
    </row>
    <row r="58" spans="1:16" x14ac:dyDescent="0.35">
      <c r="A58" s="1">
        <v>5573033</v>
      </c>
      <c r="B58" s="1" t="str">
        <f>TRIM('Raw Dataset'!B58)</f>
        <v>Bayu Kusuma</v>
      </c>
      <c r="C58" s="1">
        <v>20</v>
      </c>
      <c r="D58" s="1" t="s">
        <v>15</v>
      </c>
      <c r="E58" s="8">
        <v>44256</v>
      </c>
      <c r="F58" s="1">
        <v>332449</v>
      </c>
      <c r="G58" s="8">
        <v>44266</v>
      </c>
      <c r="H58" s="1">
        <v>712</v>
      </c>
      <c r="I58" s="9">
        <v>1003910</v>
      </c>
      <c r="J58" s="9">
        <v>7150798</v>
      </c>
      <c r="K58" s="1" t="s">
        <v>26</v>
      </c>
      <c r="L58" s="1" t="str">
        <f>_xlfn.XLOOKUP(K58,Lookup!$G$4:$G$15,Lookup!$F$4:$F$15,"Unmapping",0,1)</f>
        <v>DKI Jakarta</v>
      </c>
      <c r="M58" s="1" t="str">
        <f>VLOOKUP(H58,Lookup!$C$4:$D$9,2,0)</f>
        <v>Tab Syariah</v>
      </c>
      <c r="N58" s="6" t="str">
        <f t="shared" si="0"/>
        <v>Mass Market</v>
      </c>
      <c r="O58" s="6" t="str" cm="1">
        <f t="array" ref="O58">_xlfn.IFS(C58&lt;=25,"Grade C",C58&lt;=35,"Grade A",C58&lt;=55,"Grade B",C58&gt;55,"Grade D")</f>
        <v>Grade C</v>
      </c>
      <c r="P58" s="6" t="str">
        <f t="shared" si="1"/>
        <v>Low</v>
      </c>
    </row>
    <row r="59" spans="1:16" x14ac:dyDescent="0.35">
      <c r="A59" s="1">
        <v>2876035</v>
      </c>
      <c r="B59" s="1" t="str">
        <f>TRIM('Raw Dataset'!B59)</f>
        <v>Dewi Lestari</v>
      </c>
      <c r="C59" s="1">
        <v>48</v>
      </c>
      <c r="D59" s="1" t="s">
        <v>15</v>
      </c>
      <c r="E59" s="8">
        <v>43853</v>
      </c>
      <c r="F59" s="1">
        <v>928860</v>
      </c>
      <c r="G59" s="8">
        <v>43863</v>
      </c>
      <c r="H59" s="1">
        <v>712</v>
      </c>
      <c r="I59" s="9">
        <v>7443538</v>
      </c>
      <c r="J59" s="9">
        <v>8380372</v>
      </c>
      <c r="K59" s="1" t="s">
        <v>28</v>
      </c>
      <c r="L59" s="1" t="str">
        <f>_xlfn.XLOOKUP(K59,Lookup!$G$4:$G$15,Lookup!$F$4:$F$15,"Unmapping",0,1)</f>
        <v>Papua</v>
      </c>
      <c r="M59" s="1" t="str">
        <f>VLOOKUP(H59,Lookup!$C$4:$D$9,2,0)</f>
        <v>Tab Syariah</v>
      </c>
      <c r="N59" s="6" t="str">
        <f t="shared" si="0"/>
        <v>Mass Market</v>
      </c>
      <c r="O59" s="6" t="str" cm="1">
        <f t="array" ref="O59">_xlfn.IFS(C59&lt;=25,"Grade C",C59&lt;=35,"Grade A",C59&lt;=55,"Grade B",C59&gt;55,"Grade D")</f>
        <v>Grade B</v>
      </c>
      <c r="P59" s="6" t="str">
        <f t="shared" si="1"/>
        <v>Low</v>
      </c>
    </row>
    <row r="60" spans="1:16" x14ac:dyDescent="0.35">
      <c r="A60" s="1">
        <v>5488680</v>
      </c>
      <c r="B60" s="1" t="str">
        <f>TRIM('Raw Dataset'!B60)</f>
        <v>Putri Handoko</v>
      </c>
      <c r="C60" s="1">
        <v>55</v>
      </c>
      <c r="D60" s="1" t="s">
        <v>15</v>
      </c>
      <c r="E60" s="8">
        <v>45399</v>
      </c>
      <c r="F60" s="1">
        <v>336482</v>
      </c>
      <c r="G60" s="8">
        <v>45409</v>
      </c>
      <c r="H60" s="1">
        <v>712</v>
      </c>
      <c r="I60" s="9">
        <v>3671034</v>
      </c>
      <c r="J60" s="9">
        <v>2344089</v>
      </c>
      <c r="K60" s="1" t="s">
        <v>20</v>
      </c>
      <c r="L60" s="1" t="str">
        <f>_xlfn.XLOOKUP(K60,Lookup!$G$4:$G$15,Lookup!$F$4:$F$15,"Unmapping",0,1)</f>
        <v>Jawa Timur</v>
      </c>
      <c r="M60" s="1" t="str">
        <f>VLOOKUP(H60,Lookup!$C$4:$D$9,2,0)</f>
        <v>Tab Syariah</v>
      </c>
      <c r="N60" s="6" t="str">
        <f t="shared" si="0"/>
        <v>Mass Market</v>
      </c>
      <c r="O60" s="6" t="str" cm="1">
        <f t="array" ref="O60">_xlfn.IFS(C60&lt;=25,"Grade C",C60&lt;=35,"Grade A",C60&lt;=55,"Grade B",C60&gt;55,"Grade D")</f>
        <v>Grade B</v>
      </c>
      <c r="P60" s="6" t="str">
        <f t="shared" si="1"/>
        <v>Low</v>
      </c>
    </row>
    <row r="61" spans="1:16" x14ac:dyDescent="0.35">
      <c r="A61" s="1">
        <v>1425629</v>
      </c>
      <c r="B61" s="1" t="str">
        <f>TRIM('Raw Dataset'!B61)</f>
        <v>Kartika Wijaya</v>
      </c>
      <c r="C61" s="1">
        <v>57</v>
      </c>
      <c r="D61" s="1" t="s">
        <v>15</v>
      </c>
      <c r="E61" s="8">
        <v>44133</v>
      </c>
      <c r="F61" s="1">
        <v>285259</v>
      </c>
      <c r="G61" s="8">
        <v>44143</v>
      </c>
      <c r="H61" s="1">
        <v>712</v>
      </c>
      <c r="I61" s="9">
        <v>5484200</v>
      </c>
      <c r="J61" s="9">
        <v>6373782</v>
      </c>
      <c r="K61" s="1" t="s">
        <v>20</v>
      </c>
      <c r="L61" s="1" t="str">
        <f>_xlfn.XLOOKUP(K61,Lookup!$G$4:$G$15,Lookup!$F$4:$F$15,"Unmapping",0,1)</f>
        <v>Jawa Timur</v>
      </c>
      <c r="M61" s="1" t="str">
        <f>VLOOKUP(H61,Lookup!$C$4:$D$9,2,0)</f>
        <v>Tab Syariah</v>
      </c>
      <c r="N61" s="6" t="str">
        <f t="shared" si="0"/>
        <v>Mass Market</v>
      </c>
      <c r="O61" s="6" t="str" cm="1">
        <f t="array" ref="O61">_xlfn.IFS(C61&lt;=25,"Grade C",C61&lt;=35,"Grade A",C61&lt;=55,"Grade B",C61&gt;55,"Grade D")</f>
        <v>Grade D</v>
      </c>
      <c r="P61" s="6" t="str">
        <f t="shared" si="1"/>
        <v>Low</v>
      </c>
    </row>
    <row r="62" spans="1:16" x14ac:dyDescent="0.35">
      <c r="A62" s="1">
        <v>3209589</v>
      </c>
      <c r="B62" s="1" t="str">
        <f>TRIM('Raw Dataset'!B62)</f>
        <v>Indah Sari</v>
      </c>
      <c r="C62" s="1">
        <v>28</v>
      </c>
      <c r="D62" s="1" t="s">
        <v>15</v>
      </c>
      <c r="E62" s="8">
        <v>43846</v>
      </c>
      <c r="F62" s="1">
        <v>522026</v>
      </c>
      <c r="G62" s="8">
        <v>43856</v>
      </c>
      <c r="H62" s="1">
        <v>712</v>
      </c>
      <c r="I62" s="9">
        <v>5736609</v>
      </c>
      <c r="J62" s="9">
        <v>2377379</v>
      </c>
      <c r="K62" s="1" t="s">
        <v>20</v>
      </c>
      <c r="L62" s="1" t="str">
        <f>_xlfn.XLOOKUP(K62,Lookup!$G$4:$G$15,Lookup!$F$4:$F$15,"Unmapping",0,1)</f>
        <v>Jawa Timur</v>
      </c>
      <c r="M62" s="1" t="str">
        <f>VLOOKUP(H62,Lookup!$C$4:$D$9,2,0)</f>
        <v>Tab Syariah</v>
      </c>
      <c r="N62" s="6" t="str">
        <f t="shared" si="0"/>
        <v>Mass Market</v>
      </c>
      <c r="O62" s="6" t="str" cm="1">
        <f t="array" ref="O62">_xlfn.IFS(C62&lt;=25,"Grade C",C62&lt;=35,"Grade A",C62&lt;=55,"Grade B",C62&gt;55,"Grade D")</f>
        <v>Grade A</v>
      </c>
      <c r="P62" s="6" t="str">
        <f t="shared" si="1"/>
        <v>Low</v>
      </c>
    </row>
    <row r="63" spans="1:16" x14ac:dyDescent="0.35">
      <c r="A63" s="1">
        <v>3617129</v>
      </c>
      <c r="B63" s="1" t="str">
        <f>TRIM('Raw Dataset'!B63)</f>
        <v>Ahmad Putra</v>
      </c>
      <c r="C63" s="1">
        <v>25</v>
      </c>
      <c r="D63" s="1" t="s">
        <v>12</v>
      </c>
      <c r="E63" s="8">
        <v>45375</v>
      </c>
      <c r="F63" s="1">
        <v>961658</v>
      </c>
      <c r="G63" s="8">
        <v>45385</v>
      </c>
      <c r="H63" s="1">
        <v>712</v>
      </c>
      <c r="I63" s="9">
        <v>1331445</v>
      </c>
      <c r="J63" s="9">
        <v>8610335</v>
      </c>
      <c r="K63" s="1" t="s">
        <v>22</v>
      </c>
      <c r="L63" s="1" t="str">
        <f>_xlfn.XLOOKUP(K63,Lookup!$G$4:$G$15,Lookup!$F$4:$F$15,"Unmapping",0,1)</f>
        <v>Kalimantan</v>
      </c>
      <c r="M63" s="1" t="str">
        <f>VLOOKUP(H63,Lookup!$C$4:$D$9,2,0)</f>
        <v>Tab Syariah</v>
      </c>
      <c r="N63" s="6" t="str">
        <f t="shared" si="0"/>
        <v>Mass Market</v>
      </c>
      <c r="O63" s="6" t="str" cm="1">
        <f t="array" ref="O63">_xlfn.IFS(C63&lt;=25,"Grade C",C63&lt;=35,"Grade A",C63&lt;=55,"Grade B",C63&gt;55,"Grade D")</f>
        <v>Grade C</v>
      </c>
      <c r="P63" s="6" t="str">
        <f t="shared" si="1"/>
        <v>Low</v>
      </c>
    </row>
    <row r="64" spans="1:16" x14ac:dyDescent="0.35">
      <c r="A64" s="1">
        <v>2379049</v>
      </c>
      <c r="B64" s="1" t="str">
        <f>TRIM('Raw Dataset'!B64)</f>
        <v>Yudi Purnama</v>
      </c>
      <c r="C64" s="1">
        <v>62</v>
      </c>
      <c r="D64" s="1" t="s">
        <v>15</v>
      </c>
      <c r="E64" s="8">
        <v>45188</v>
      </c>
      <c r="F64" s="1">
        <v>552006</v>
      </c>
      <c r="G64" s="8">
        <v>45198</v>
      </c>
      <c r="H64" s="1">
        <v>712</v>
      </c>
      <c r="I64" s="9">
        <v>7395207</v>
      </c>
      <c r="J64" s="9">
        <v>3548196</v>
      </c>
      <c r="K64" s="1" t="s">
        <v>24</v>
      </c>
      <c r="L64" s="1" t="str">
        <f>_xlfn.XLOOKUP(K64,Lookup!$G$4:$G$15,Lookup!$F$4:$F$15,"Unmapping",0,1)</f>
        <v>Sumatera Utara</v>
      </c>
      <c r="M64" s="1" t="str">
        <f>VLOOKUP(H64,Lookup!$C$4:$D$9,2,0)</f>
        <v>Tab Syariah</v>
      </c>
      <c r="N64" s="6" t="str">
        <f t="shared" si="0"/>
        <v>Mass Market</v>
      </c>
      <c r="O64" s="6" t="str" cm="1">
        <f t="array" ref="O64">_xlfn.IFS(C64&lt;=25,"Grade C",C64&lt;=35,"Grade A",C64&lt;=55,"Grade B",C64&gt;55,"Grade D")</f>
        <v>Grade D</v>
      </c>
      <c r="P64" s="6" t="str">
        <f t="shared" si="1"/>
        <v>Low</v>
      </c>
    </row>
    <row r="65" spans="1:16" x14ac:dyDescent="0.35">
      <c r="A65" s="1">
        <v>7736390</v>
      </c>
      <c r="B65" s="1" t="str">
        <f>TRIM('Raw Dataset'!B65)</f>
        <v>Teguh Utami</v>
      </c>
      <c r="C65" s="1">
        <v>61</v>
      </c>
      <c r="D65" s="1" t="s">
        <v>12</v>
      </c>
      <c r="E65" s="8">
        <v>44890</v>
      </c>
      <c r="F65" s="1">
        <v>679854</v>
      </c>
      <c r="G65" s="8">
        <v>44900</v>
      </c>
      <c r="H65" s="1">
        <v>712</v>
      </c>
      <c r="I65" s="9">
        <v>7373536</v>
      </c>
      <c r="J65" s="9">
        <v>3542889</v>
      </c>
      <c r="K65" s="1" t="s">
        <v>13</v>
      </c>
      <c r="L65" s="1" t="str">
        <f>_xlfn.XLOOKUP(K65,Lookup!$G$4:$G$15,Lookup!$F$4:$F$15,"Unmapping",0,1)</f>
        <v>Jawa Barat</v>
      </c>
      <c r="M65" s="1" t="str">
        <f>VLOOKUP(H65,Lookup!$C$4:$D$9,2,0)</f>
        <v>Tab Syariah</v>
      </c>
      <c r="N65" s="6" t="str">
        <f t="shared" si="0"/>
        <v>Mass Market</v>
      </c>
      <c r="O65" s="6" t="str" cm="1">
        <f t="array" ref="O65">_xlfn.IFS(C65&lt;=25,"Grade C",C65&lt;=35,"Grade A",C65&lt;=55,"Grade B",C65&gt;55,"Grade D")</f>
        <v>Grade D</v>
      </c>
      <c r="P65" s="6" t="str">
        <f t="shared" si="1"/>
        <v>Low</v>
      </c>
    </row>
    <row r="66" spans="1:16" x14ac:dyDescent="0.35">
      <c r="A66" s="1">
        <v>7272250</v>
      </c>
      <c r="B66" s="1" t="str">
        <f>TRIM('Raw Dataset'!B66)</f>
        <v>Oki Syahputra</v>
      </c>
      <c r="C66" s="1">
        <v>55</v>
      </c>
      <c r="D66" s="1" t="s">
        <v>15</v>
      </c>
      <c r="E66" s="8">
        <v>43974</v>
      </c>
      <c r="F66" s="1">
        <v>491294</v>
      </c>
      <c r="G66" s="8">
        <v>43984</v>
      </c>
      <c r="H66" s="1">
        <v>712</v>
      </c>
      <c r="I66" s="9">
        <v>1880751</v>
      </c>
      <c r="J66" s="9">
        <v>4043924</v>
      </c>
      <c r="K66" s="1" t="s">
        <v>28</v>
      </c>
      <c r="L66" s="1" t="str">
        <f>_xlfn.XLOOKUP(K66,Lookup!$G$4:$G$15,Lookup!$F$4:$F$15,"Unmapping",0,1)</f>
        <v>Papua</v>
      </c>
      <c r="M66" s="1" t="str">
        <f>VLOOKUP(H66,Lookup!$C$4:$D$9,2,0)</f>
        <v>Tab Syariah</v>
      </c>
      <c r="N66" s="6" t="str">
        <f t="shared" si="0"/>
        <v>Mass Market</v>
      </c>
      <c r="O66" s="6" t="str" cm="1">
        <f t="array" ref="O66">_xlfn.IFS(C66&lt;=25,"Grade C",C66&lt;=35,"Grade A",C66&lt;=55,"Grade B",C66&gt;55,"Grade D")</f>
        <v>Grade B</v>
      </c>
      <c r="P66" s="6" t="str">
        <f t="shared" si="1"/>
        <v>Low</v>
      </c>
    </row>
    <row r="67" spans="1:16" x14ac:dyDescent="0.35">
      <c r="A67" s="1">
        <v>6800195</v>
      </c>
      <c r="B67" s="1" t="str">
        <f>TRIM('Raw Dataset'!B67)</f>
        <v>Joko Susanti</v>
      </c>
      <c r="C67" s="1">
        <v>43</v>
      </c>
      <c r="D67" s="1" t="s">
        <v>15</v>
      </c>
      <c r="E67" s="8">
        <v>44016</v>
      </c>
      <c r="F67" s="1">
        <v>383039</v>
      </c>
      <c r="G67" s="8">
        <v>44026</v>
      </c>
      <c r="H67" s="1">
        <v>712</v>
      </c>
      <c r="I67" s="9">
        <v>1940227</v>
      </c>
      <c r="J67" s="9">
        <v>2682491</v>
      </c>
      <c r="K67" s="1" t="s">
        <v>28</v>
      </c>
      <c r="L67" s="1" t="str">
        <f>_xlfn.XLOOKUP(K67,Lookup!$G$4:$G$15,Lookup!$F$4:$F$15,"Unmapping",0,1)</f>
        <v>Papua</v>
      </c>
      <c r="M67" s="1" t="str">
        <f>VLOOKUP(H67,Lookup!$C$4:$D$9,2,0)</f>
        <v>Tab Syariah</v>
      </c>
      <c r="N67" s="6" t="str">
        <f t="shared" ref="N67:N130" si="2">IF(I67&lt;10000000,"Mass Market",IF(I67&lt;=50000000,"Optimal","Privilage"))</f>
        <v>Mass Market</v>
      </c>
      <c r="O67" s="6" t="str" cm="1">
        <f t="array" ref="O67">_xlfn.IFS(C67&lt;=25,"Grade C",C67&lt;=35,"Grade A",C67&lt;=55,"Grade B",C67&gt;55,"Grade D")</f>
        <v>Grade B</v>
      </c>
      <c r="P67" s="6" t="str">
        <f t="shared" ref="P67:P130" si="3">INDEX($T$13:$W$15,MATCH(N67,$S$13:$S$15,0),MATCH(O67,$T$12:$W$12,0))</f>
        <v>Low</v>
      </c>
    </row>
    <row r="68" spans="1:16" x14ac:dyDescent="0.35">
      <c r="A68" s="1">
        <v>7435628</v>
      </c>
      <c r="B68" s="1" t="str">
        <f>TRIM('Raw Dataset'!B68)</f>
        <v>Zahra Rahayu</v>
      </c>
      <c r="C68" s="1">
        <v>17</v>
      </c>
      <c r="D68" s="1" t="s">
        <v>12</v>
      </c>
      <c r="E68" s="8">
        <v>44900</v>
      </c>
      <c r="F68" s="1">
        <v>924643</v>
      </c>
      <c r="G68" s="8">
        <v>44910</v>
      </c>
      <c r="H68" s="1">
        <v>712</v>
      </c>
      <c r="I68" s="9">
        <v>5762246</v>
      </c>
      <c r="J68" s="9">
        <v>2934830</v>
      </c>
      <c r="K68" s="1" t="s">
        <v>28</v>
      </c>
      <c r="L68" s="1" t="str">
        <f>_xlfn.XLOOKUP(K68,Lookup!$G$4:$G$15,Lookup!$F$4:$F$15,"Unmapping",0,1)</f>
        <v>Papua</v>
      </c>
      <c r="M68" s="1" t="str">
        <f>VLOOKUP(H68,Lookup!$C$4:$D$9,2,0)</f>
        <v>Tab Syariah</v>
      </c>
      <c r="N68" s="6" t="str">
        <f t="shared" si="2"/>
        <v>Mass Market</v>
      </c>
      <c r="O68" s="6" t="str" cm="1">
        <f t="array" ref="O68">_xlfn.IFS(C68&lt;=25,"Grade C",C68&lt;=35,"Grade A",C68&lt;=55,"Grade B",C68&gt;55,"Grade D")</f>
        <v>Grade C</v>
      </c>
      <c r="P68" s="6" t="str">
        <f t="shared" si="3"/>
        <v>Low</v>
      </c>
    </row>
    <row r="69" spans="1:16" x14ac:dyDescent="0.35">
      <c r="A69" s="1">
        <v>2668940</v>
      </c>
      <c r="B69" s="1" t="str">
        <f>TRIM('Raw Dataset'!B69)</f>
        <v>Hendra Rahayu</v>
      </c>
      <c r="C69" s="1">
        <v>27</v>
      </c>
      <c r="D69" s="1" t="s">
        <v>12</v>
      </c>
      <c r="E69" s="8">
        <v>44090</v>
      </c>
      <c r="F69" s="1">
        <v>368461</v>
      </c>
      <c r="G69" s="8">
        <v>44100</v>
      </c>
      <c r="H69" s="1">
        <v>712</v>
      </c>
      <c r="I69" s="9">
        <v>1839986</v>
      </c>
      <c r="J69" s="9">
        <v>3898348</v>
      </c>
      <c r="K69" s="1" t="s">
        <v>28</v>
      </c>
      <c r="L69" s="1" t="str">
        <f>_xlfn.XLOOKUP(K69,Lookup!$G$4:$G$15,Lookup!$F$4:$F$15,"Unmapping",0,1)</f>
        <v>Papua</v>
      </c>
      <c r="M69" s="1" t="str">
        <f>VLOOKUP(H69,Lookup!$C$4:$D$9,2,0)</f>
        <v>Tab Syariah</v>
      </c>
      <c r="N69" s="6" t="str">
        <f t="shared" si="2"/>
        <v>Mass Market</v>
      </c>
      <c r="O69" s="6" t="str" cm="1">
        <f t="array" ref="O69">_xlfn.IFS(C69&lt;=25,"Grade C",C69&lt;=35,"Grade A",C69&lt;=55,"Grade B",C69&gt;55,"Grade D")</f>
        <v>Grade A</v>
      </c>
      <c r="P69" s="6" t="str">
        <f t="shared" si="3"/>
        <v>Low</v>
      </c>
    </row>
    <row r="70" spans="1:16" x14ac:dyDescent="0.35">
      <c r="A70" s="1">
        <v>6451744</v>
      </c>
      <c r="B70" s="1" t="str">
        <f>TRIM('Raw Dataset'!B70)</f>
        <v>Intan Kusuma</v>
      </c>
      <c r="C70" s="1">
        <v>24</v>
      </c>
      <c r="D70" s="1" t="s">
        <v>15</v>
      </c>
      <c r="E70" s="8">
        <v>45420</v>
      </c>
      <c r="F70" s="1">
        <v>723769</v>
      </c>
      <c r="G70" s="8">
        <v>45430</v>
      </c>
      <c r="H70" s="1">
        <v>712</v>
      </c>
      <c r="I70" s="9">
        <v>5011595</v>
      </c>
      <c r="J70" s="9">
        <v>4978997</v>
      </c>
      <c r="K70" s="1" t="s">
        <v>26</v>
      </c>
      <c r="L70" s="1" t="str">
        <f>_xlfn.XLOOKUP(K70,Lookup!$G$4:$G$15,Lookup!$F$4:$F$15,"Unmapping",0,1)</f>
        <v>DKI Jakarta</v>
      </c>
      <c r="M70" s="1" t="str">
        <f>VLOOKUP(H70,Lookup!$C$4:$D$9,2,0)</f>
        <v>Tab Syariah</v>
      </c>
      <c r="N70" s="6" t="str">
        <f t="shared" si="2"/>
        <v>Mass Market</v>
      </c>
      <c r="O70" s="6" t="str" cm="1">
        <f t="array" ref="O70">_xlfn.IFS(C70&lt;=25,"Grade C",C70&lt;=35,"Grade A",C70&lt;=55,"Grade B",C70&gt;55,"Grade D")</f>
        <v>Grade C</v>
      </c>
      <c r="P70" s="6" t="str">
        <f t="shared" si="3"/>
        <v>Low</v>
      </c>
    </row>
    <row r="71" spans="1:16" x14ac:dyDescent="0.35">
      <c r="A71" s="1">
        <v>4999597</v>
      </c>
      <c r="B71" s="1" t="str">
        <f>TRIM('Raw Dataset'!B71)</f>
        <v>Rina Hidayat</v>
      </c>
      <c r="C71" s="1">
        <v>55</v>
      </c>
      <c r="D71" s="1" t="s">
        <v>12</v>
      </c>
      <c r="E71" s="8">
        <v>45657</v>
      </c>
      <c r="F71" s="1">
        <v>287509</v>
      </c>
      <c r="G71" s="8">
        <v>45667</v>
      </c>
      <c r="H71" s="1">
        <v>712</v>
      </c>
      <c r="I71" s="9">
        <v>4982805</v>
      </c>
      <c r="J71" s="9">
        <v>4198545</v>
      </c>
      <c r="K71" s="1" t="s">
        <v>26</v>
      </c>
      <c r="L71" s="1" t="str">
        <f>_xlfn.XLOOKUP(K71,Lookup!$G$4:$G$15,Lookup!$F$4:$F$15,"Unmapping",0,1)</f>
        <v>DKI Jakarta</v>
      </c>
      <c r="M71" s="1" t="str">
        <f>VLOOKUP(H71,Lookup!$C$4:$D$9,2,0)</f>
        <v>Tab Syariah</v>
      </c>
      <c r="N71" s="6" t="str">
        <f t="shared" si="2"/>
        <v>Mass Market</v>
      </c>
      <c r="O71" s="6" t="str" cm="1">
        <f t="array" ref="O71">_xlfn.IFS(C71&lt;=25,"Grade C",C71&lt;=35,"Grade A",C71&lt;=55,"Grade B",C71&gt;55,"Grade D")</f>
        <v>Grade B</v>
      </c>
      <c r="P71" s="6" t="str">
        <f t="shared" si="3"/>
        <v>Low</v>
      </c>
    </row>
    <row r="72" spans="1:16" x14ac:dyDescent="0.35">
      <c r="A72" s="1">
        <v>2244934</v>
      </c>
      <c r="B72" s="1" t="str">
        <f>TRIM('Raw Dataset'!B72)</f>
        <v>Hadi Saputra</v>
      </c>
      <c r="C72" s="1">
        <v>20</v>
      </c>
      <c r="D72" s="1" t="s">
        <v>15</v>
      </c>
      <c r="E72" s="8">
        <v>44524</v>
      </c>
      <c r="F72" s="1">
        <v>644458</v>
      </c>
      <c r="G72" s="8">
        <v>44534</v>
      </c>
      <c r="H72" s="1">
        <v>712</v>
      </c>
      <c r="I72" s="9">
        <v>6706204</v>
      </c>
      <c r="J72" s="9">
        <v>8187173</v>
      </c>
      <c r="K72" s="1" t="s">
        <v>36</v>
      </c>
      <c r="L72" s="1" t="str">
        <f>_xlfn.XLOOKUP(K72,Lookup!$G$4:$G$15,Lookup!$F$4:$F$15,"Unmapping",0,1)</f>
        <v>Sulawesi Tenggara</v>
      </c>
      <c r="M72" s="1" t="str">
        <f>VLOOKUP(H72,Lookup!$C$4:$D$9,2,0)</f>
        <v>Tab Syariah</v>
      </c>
      <c r="N72" s="6" t="str">
        <f t="shared" si="2"/>
        <v>Mass Market</v>
      </c>
      <c r="O72" s="6" t="str" cm="1">
        <f t="array" ref="O72">_xlfn.IFS(C72&lt;=25,"Grade C",C72&lt;=35,"Grade A",C72&lt;=55,"Grade B",C72&gt;55,"Grade D")</f>
        <v>Grade C</v>
      </c>
      <c r="P72" s="6" t="str">
        <f t="shared" si="3"/>
        <v>Low</v>
      </c>
    </row>
    <row r="73" spans="1:16" x14ac:dyDescent="0.35">
      <c r="A73" s="1">
        <v>5839820</v>
      </c>
      <c r="B73" s="1" t="str">
        <f>TRIM('Raw Dataset'!B73)</f>
        <v>Lina Ramadhan</v>
      </c>
      <c r="C73" s="1">
        <v>39</v>
      </c>
      <c r="D73" s="1" t="s">
        <v>12</v>
      </c>
      <c r="E73" s="8">
        <v>45795</v>
      </c>
      <c r="F73" s="1">
        <v>637043</v>
      </c>
      <c r="G73" s="8">
        <v>45805</v>
      </c>
      <c r="H73" s="1">
        <v>712</v>
      </c>
      <c r="I73" s="9">
        <v>2977864</v>
      </c>
      <c r="J73" s="9">
        <v>4106434</v>
      </c>
      <c r="K73" s="1" t="s">
        <v>36</v>
      </c>
      <c r="L73" s="1" t="str">
        <f>_xlfn.XLOOKUP(K73,Lookup!$G$4:$G$15,Lookup!$F$4:$F$15,"Unmapping",0,1)</f>
        <v>Sulawesi Tenggara</v>
      </c>
      <c r="M73" s="1" t="str">
        <f>VLOOKUP(H73,Lookup!$C$4:$D$9,2,0)</f>
        <v>Tab Syariah</v>
      </c>
      <c r="N73" s="6" t="str">
        <f t="shared" si="2"/>
        <v>Mass Market</v>
      </c>
      <c r="O73" s="6" t="str" cm="1">
        <f t="array" ref="O73">_xlfn.IFS(C73&lt;=25,"Grade C",C73&lt;=35,"Grade A",C73&lt;=55,"Grade B",C73&gt;55,"Grade D")</f>
        <v>Grade B</v>
      </c>
      <c r="P73" s="6" t="str">
        <f t="shared" si="3"/>
        <v>Low</v>
      </c>
    </row>
    <row r="74" spans="1:16" x14ac:dyDescent="0.35">
      <c r="A74" s="1">
        <v>7614009</v>
      </c>
      <c r="B74" s="1" t="str">
        <f>TRIM('Raw Dataset'!B74)</f>
        <v>Zahra Setiawan</v>
      </c>
      <c r="C74" s="1">
        <v>17</v>
      </c>
      <c r="D74" s="1" t="s">
        <v>15</v>
      </c>
      <c r="E74" s="8">
        <v>44955</v>
      </c>
      <c r="F74" s="1">
        <v>413393</v>
      </c>
      <c r="G74" s="8">
        <v>44965</v>
      </c>
      <c r="H74" s="1">
        <v>712</v>
      </c>
      <c r="I74" s="9">
        <v>7685578</v>
      </c>
      <c r="J74" s="9">
        <v>2305551</v>
      </c>
      <c r="K74" s="1" t="s">
        <v>36</v>
      </c>
      <c r="L74" s="1" t="str">
        <f>_xlfn.XLOOKUP(K74,Lookup!$G$4:$G$15,Lookup!$F$4:$F$15,"Unmapping",0,1)</f>
        <v>Sulawesi Tenggara</v>
      </c>
      <c r="M74" s="1" t="str">
        <f>VLOOKUP(H74,Lookup!$C$4:$D$9,2,0)</f>
        <v>Tab Syariah</v>
      </c>
      <c r="N74" s="6" t="str">
        <f t="shared" si="2"/>
        <v>Mass Market</v>
      </c>
      <c r="O74" s="6" t="str" cm="1">
        <f t="array" ref="O74">_xlfn.IFS(C74&lt;=25,"Grade C",C74&lt;=35,"Grade A",C74&lt;=55,"Grade B",C74&gt;55,"Grade D")</f>
        <v>Grade C</v>
      </c>
      <c r="P74" s="6" t="str">
        <f t="shared" si="3"/>
        <v>Low</v>
      </c>
    </row>
    <row r="75" spans="1:16" x14ac:dyDescent="0.35">
      <c r="A75" s="1">
        <v>5725578</v>
      </c>
      <c r="B75" s="1" t="str">
        <f>TRIM('Raw Dataset'!B75)</f>
        <v>Zahra Wibowo</v>
      </c>
      <c r="C75" s="1">
        <v>45</v>
      </c>
      <c r="D75" s="1" t="s">
        <v>15</v>
      </c>
      <c r="E75" s="8">
        <v>44696</v>
      </c>
      <c r="F75" s="1">
        <v>559128</v>
      </c>
      <c r="G75" s="8">
        <v>44706</v>
      </c>
      <c r="H75" s="1">
        <v>712</v>
      </c>
      <c r="I75" s="9">
        <v>3843021</v>
      </c>
      <c r="J75" s="9">
        <v>4289318</v>
      </c>
      <c r="K75" s="1" t="s">
        <v>36</v>
      </c>
      <c r="L75" s="1" t="str">
        <f>_xlfn.XLOOKUP(K75,Lookup!$G$4:$G$15,Lookup!$F$4:$F$15,"Unmapping",0,1)</f>
        <v>Sulawesi Tenggara</v>
      </c>
      <c r="M75" s="1" t="str">
        <f>VLOOKUP(H75,Lookup!$C$4:$D$9,2,0)</f>
        <v>Tab Syariah</v>
      </c>
      <c r="N75" s="6" t="str">
        <f t="shared" si="2"/>
        <v>Mass Market</v>
      </c>
      <c r="O75" s="6" t="str" cm="1">
        <f t="array" ref="O75">_xlfn.IFS(C75&lt;=25,"Grade C",C75&lt;=35,"Grade A",C75&lt;=55,"Grade B",C75&gt;55,"Grade D")</f>
        <v>Grade B</v>
      </c>
      <c r="P75" s="6" t="str">
        <f t="shared" si="3"/>
        <v>Low</v>
      </c>
    </row>
    <row r="76" spans="1:16" x14ac:dyDescent="0.35">
      <c r="A76" s="1">
        <v>1523208</v>
      </c>
      <c r="B76" s="1" t="str">
        <f>TRIM('Raw Dataset'!B76)</f>
        <v>Nanda Sari</v>
      </c>
      <c r="C76" s="1">
        <v>30</v>
      </c>
      <c r="D76" s="1" t="s">
        <v>15</v>
      </c>
      <c r="E76" s="8">
        <v>45075</v>
      </c>
      <c r="F76" s="1">
        <v>936386</v>
      </c>
      <c r="G76" s="8">
        <v>45085</v>
      </c>
      <c r="H76" s="1">
        <v>712</v>
      </c>
      <c r="I76" s="9">
        <v>4898438</v>
      </c>
      <c r="J76" s="9">
        <v>5511340</v>
      </c>
      <c r="K76" s="1" t="s">
        <v>36</v>
      </c>
      <c r="L76" s="1" t="str">
        <f>_xlfn.XLOOKUP(K76,Lookup!$G$4:$G$15,Lookup!$F$4:$F$15,"Unmapping",0,1)</f>
        <v>Sulawesi Tenggara</v>
      </c>
      <c r="M76" s="1" t="str">
        <f>VLOOKUP(H76,Lookup!$C$4:$D$9,2,0)</f>
        <v>Tab Syariah</v>
      </c>
      <c r="N76" s="6" t="str">
        <f t="shared" si="2"/>
        <v>Mass Market</v>
      </c>
      <c r="O76" s="6" t="str" cm="1">
        <f t="array" ref="O76">_xlfn.IFS(C76&lt;=25,"Grade C",C76&lt;=35,"Grade A",C76&lt;=55,"Grade B",C76&gt;55,"Grade D")</f>
        <v>Grade A</v>
      </c>
      <c r="P76" s="6" t="str">
        <f t="shared" si="3"/>
        <v>Low</v>
      </c>
    </row>
    <row r="77" spans="1:16" x14ac:dyDescent="0.35">
      <c r="A77" s="1">
        <v>2246321</v>
      </c>
      <c r="B77" s="1" t="str">
        <f>TRIM('Raw Dataset'!B77)</f>
        <v>Ahmad Wibowo</v>
      </c>
      <c r="C77" s="1">
        <v>33</v>
      </c>
      <c r="D77" s="1" t="s">
        <v>15</v>
      </c>
      <c r="E77" s="8">
        <v>45883</v>
      </c>
      <c r="F77" s="1">
        <v>708929</v>
      </c>
      <c r="G77" s="8">
        <v>45893</v>
      </c>
      <c r="H77" s="1">
        <v>712</v>
      </c>
      <c r="I77" s="9">
        <v>1411191</v>
      </c>
      <c r="J77" s="9">
        <v>5761288</v>
      </c>
      <c r="K77" s="1" t="s">
        <v>36</v>
      </c>
      <c r="L77" s="1" t="str">
        <f>_xlfn.XLOOKUP(K77,Lookup!$G$4:$G$15,Lookup!$F$4:$F$15,"Unmapping",0,1)</f>
        <v>Sulawesi Tenggara</v>
      </c>
      <c r="M77" s="1" t="str">
        <f>VLOOKUP(H77,Lookup!$C$4:$D$9,2,0)</f>
        <v>Tab Syariah</v>
      </c>
      <c r="N77" s="6" t="str">
        <f t="shared" si="2"/>
        <v>Mass Market</v>
      </c>
      <c r="O77" s="6" t="str" cm="1">
        <f t="array" ref="O77">_xlfn.IFS(C77&lt;=25,"Grade C",C77&lt;=35,"Grade A",C77&lt;=55,"Grade B",C77&gt;55,"Grade D")</f>
        <v>Grade A</v>
      </c>
      <c r="P77" s="6" t="str">
        <f t="shared" si="3"/>
        <v>Low</v>
      </c>
    </row>
    <row r="78" spans="1:16" x14ac:dyDescent="0.35">
      <c r="A78" s="1">
        <v>4802566</v>
      </c>
      <c r="B78" s="1" t="str">
        <f>TRIM('Raw Dataset'!B78)</f>
        <v>Rina Kurniawan</v>
      </c>
      <c r="C78" s="1">
        <v>15</v>
      </c>
      <c r="D78" s="1" t="s">
        <v>12</v>
      </c>
      <c r="E78" s="8">
        <v>44721</v>
      </c>
      <c r="F78" s="1">
        <v>991586</v>
      </c>
      <c r="G78" s="8">
        <v>44731</v>
      </c>
      <c r="H78" s="1">
        <v>712</v>
      </c>
      <c r="I78" s="9">
        <v>4995096</v>
      </c>
      <c r="J78" s="9">
        <v>3178238</v>
      </c>
      <c r="K78" s="1" t="s">
        <v>36</v>
      </c>
      <c r="L78" s="1" t="str">
        <f>_xlfn.XLOOKUP(K78,Lookup!$G$4:$G$15,Lookup!$F$4:$F$15,"Unmapping",0,1)</f>
        <v>Sulawesi Tenggara</v>
      </c>
      <c r="M78" s="1" t="str">
        <f>VLOOKUP(H78,Lookup!$C$4:$D$9,2,0)</f>
        <v>Tab Syariah</v>
      </c>
      <c r="N78" s="6" t="str">
        <f t="shared" si="2"/>
        <v>Mass Market</v>
      </c>
      <c r="O78" s="6" t="str" cm="1">
        <f t="array" ref="O78">_xlfn.IFS(C78&lt;=25,"Grade C",C78&lt;=35,"Grade A",C78&lt;=55,"Grade B",C78&gt;55,"Grade D")</f>
        <v>Grade C</v>
      </c>
      <c r="P78" s="6" t="str">
        <f t="shared" si="3"/>
        <v>Low</v>
      </c>
    </row>
    <row r="79" spans="1:16" x14ac:dyDescent="0.35">
      <c r="A79" s="1">
        <v>3584130</v>
      </c>
      <c r="B79" s="1" t="str">
        <f>TRIM('Raw Dataset'!B79)</f>
        <v>Kartika Santoso</v>
      </c>
      <c r="C79" s="1">
        <v>55</v>
      </c>
      <c r="D79" s="1" t="s">
        <v>15</v>
      </c>
      <c r="E79" s="8">
        <v>44829</v>
      </c>
      <c r="F79" s="1">
        <v>887065</v>
      </c>
      <c r="G79" s="8">
        <v>44839</v>
      </c>
      <c r="H79" s="1">
        <v>712</v>
      </c>
      <c r="I79" s="9">
        <v>3628982</v>
      </c>
      <c r="J79" s="9">
        <v>2852846</v>
      </c>
      <c r="K79" s="1" t="s">
        <v>36</v>
      </c>
      <c r="L79" s="1" t="str">
        <f>_xlfn.XLOOKUP(K79,Lookup!$G$4:$G$15,Lookup!$F$4:$F$15,"Unmapping",0,1)</f>
        <v>Sulawesi Tenggara</v>
      </c>
      <c r="M79" s="1" t="str">
        <f>VLOOKUP(H79,Lookup!$C$4:$D$9,2,0)</f>
        <v>Tab Syariah</v>
      </c>
      <c r="N79" s="6" t="str">
        <f t="shared" si="2"/>
        <v>Mass Market</v>
      </c>
      <c r="O79" s="6" t="str" cm="1">
        <f t="array" ref="O79">_xlfn.IFS(C79&lt;=25,"Grade C",C79&lt;=35,"Grade A",C79&lt;=55,"Grade B",C79&gt;55,"Grade D")</f>
        <v>Grade B</v>
      </c>
      <c r="P79" s="6" t="str">
        <f t="shared" si="3"/>
        <v>Low</v>
      </c>
    </row>
    <row r="80" spans="1:16" x14ac:dyDescent="0.35">
      <c r="A80" s="1">
        <v>1650584</v>
      </c>
      <c r="B80" s="1" t="str">
        <f>TRIM('Raw Dataset'!B80)</f>
        <v>Erna Pratama</v>
      </c>
      <c r="C80" s="1">
        <v>33</v>
      </c>
      <c r="D80" s="1" t="s">
        <v>12</v>
      </c>
      <c r="E80" s="8">
        <v>45077</v>
      </c>
      <c r="F80" s="1">
        <v>258214</v>
      </c>
      <c r="G80" s="8">
        <v>45087</v>
      </c>
      <c r="H80" s="1">
        <v>712</v>
      </c>
      <c r="I80" s="9">
        <v>6082501</v>
      </c>
      <c r="J80" s="9">
        <v>2480142</v>
      </c>
      <c r="K80" s="1" t="s">
        <v>36</v>
      </c>
      <c r="L80" s="1" t="str">
        <f>_xlfn.XLOOKUP(K80,Lookup!$G$4:$G$15,Lookup!$F$4:$F$15,"Unmapping",0,1)</f>
        <v>Sulawesi Tenggara</v>
      </c>
      <c r="M80" s="1" t="str">
        <f>VLOOKUP(H80,Lookup!$C$4:$D$9,2,0)</f>
        <v>Tab Syariah</v>
      </c>
      <c r="N80" s="6" t="str">
        <f t="shared" si="2"/>
        <v>Mass Market</v>
      </c>
      <c r="O80" s="6" t="str" cm="1">
        <f t="array" ref="O80">_xlfn.IFS(C80&lt;=25,"Grade C",C80&lt;=35,"Grade A",C80&lt;=55,"Grade B",C80&gt;55,"Grade D")</f>
        <v>Grade A</v>
      </c>
      <c r="P80" s="6" t="str">
        <f t="shared" si="3"/>
        <v>Low</v>
      </c>
    </row>
    <row r="81" spans="1:16" x14ac:dyDescent="0.35">
      <c r="A81" s="1">
        <v>7950565</v>
      </c>
      <c r="B81" s="1" t="str">
        <f>TRIM('Raw Dataset'!B81)</f>
        <v>Fitri Saputra</v>
      </c>
      <c r="C81" s="1">
        <v>51</v>
      </c>
      <c r="D81" s="1" t="s">
        <v>15</v>
      </c>
      <c r="E81" s="8">
        <v>45809</v>
      </c>
      <c r="F81" s="1">
        <v>345788</v>
      </c>
      <c r="G81" s="8">
        <v>45819</v>
      </c>
      <c r="H81" s="1">
        <v>712</v>
      </c>
      <c r="I81" s="9">
        <v>4560632</v>
      </c>
      <c r="J81" s="9">
        <v>5074009</v>
      </c>
      <c r="K81" s="1" t="s">
        <v>36</v>
      </c>
      <c r="L81" s="1" t="str">
        <f>_xlfn.XLOOKUP(K81,Lookup!$G$4:$G$15,Lookup!$F$4:$F$15,"Unmapping",0,1)</f>
        <v>Sulawesi Tenggara</v>
      </c>
      <c r="M81" s="1" t="str">
        <f>VLOOKUP(H81,Lookup!$C$4:$D$9,2,0)</f>
        <v>Tab Syariah</v>
      </c>
      <c r="N81" s="6" t="str">
        <f t="shared" si="2"/>
        <v>Mass Market</v>
      </c>
      <c r="O81" s="6" t="str" cm="1">
        <f t="array" ref="O81">_xlfn.IFS(C81&lt;=25,"Grade C",C81&lt;=35,"Grade A",C81&lt;=55,"Grade B",C81&gt;55,"Grade D")</f>
        <v>Grade B</v>
      </c>
      <c r="P81" s="6" t="str">
        <f t="shared" si="3"/>
        <v>Low</v>
      </c>
    </row>
    <row r="82" spans="1:16" x14ac:dyDescent="0.35">
      <c r="A82" s="1">
        <v>5736510</v>
      </c>
      <c r="B82" s="1" t="str">
        <f>TRIM('Raw Dataset'!B82)</f>
        <v>Eka Ramadhan</v>
      </c>
      <c r="C82" s="1">
        <v>44</v>
      </c>
      <c r="D82" s="1" t="s">
        <v>15</v>
      </c>
      <c r="E82" s="8">
        <v>44095</v>
      </c>
      <c r="F82" s="1">
        <v>539464</v>
      </c>
      <c r="G82" s="8">
        <v>44105</v>
      </c>
      <c r="H82" s="1">
        <v>712</v>
      </c>
      <c r="I82" s="9">
        <v>2546303</v>
      </c>
      <c r="J82" s="9">
        <v>9357549</v>
      </c>
      <c r="K82" s="1" t="s">
        <v>36</v>
      </c>
      <c r="L82" s="1" t="str">
        <f>_xlfn.XLOOKUP(K82,Lookup!$G$4:$G$15,Lookup!$F$4:$F$15,"Unmapping",0,1)</f>
        <v>Sulawesi Tenggara</v>
      </c>
      <c r="M82" s="1" t="str">
        <f>VLOOKUP(H82,Lookup!$C$4:$D$9,2,0)</f>
        <v>Tab Syariah</v>
      </c>
      <c r="N82" s="6" t="str">
        <f t="shared" si="2"/>
        <v>Mass Market</v>
      </c>
      <c r="O82" s="6" t="str" cm="1">
        <f t="array" ref="O82">_xlfn.IFS(C82&lt;=25,"Grade C",C82&lt;=35,"Grade A",C82&lt;=55,"Grade B",C82&gt;55,"Grade D")</f>
        <v>Grade B</v>
      </c>
      <c r="P82" s="6" t="str">
        <f t="shared" si="3"/>
        <v>Low</v>
      </c>
    </row>
    <row r="83" spans="1:16" x14ac:dyDescent="0.35">
      <c r="A83" s="1">
        <v>1844086</v>
      </c>
      <c r="B83" s="1" t="str">
        <f>TRIM('Raw Dataset'!B83)</f>
        <v>Gilang Rahayu</v>
      </c>
      <c r="C83" s="1">
        <v>53</v>
      </c>
      <c r="D83" s="1" t="s">
        <v>12</v>
      </c>
      <c r="E83" s="8">
        <v>44340</v>
      </c>
      <c r="F83" s="1">
        <v>721218</v>
      </c>
      <c r="G83" s="8">
        <v>44350</v>
      </c>
      <c r="H83" s="1">
        <v>712</v>
      </c>
      <c r="I83" s="9">
        <v>92445559</v>
      </c>
      <c r="J83" s="9">
        <v>72322417</v>
      </c>
      <c r="K83" s="1" t="s">
        <v>36</v>
      </c>
      <c r="L83" s="1" t="str">
        <f>_xlfn.XLOOKUP(K83,Lookup!$G$4:$G$15,Lookup!$F$4:$F$15,"Unmapping",0,1)</f>
        <v>Sulawesi Tenggara</v>
      </c>
      <c r="M83" s="1" t="str">
        <f>VLOOKUP(H83,Lookup!$C$4:$D$9,2,0)</f>
        <v>Tab Syariah</v>
      </c>
      <c r="N83" s="6" t="str">
        <f t="shared" si="2"/>
        <v>Privilage</v>
      </c>
      <c r="O83" s="6" t="str" cm="1">
        <f t="array" ref="O83">_xlfn.IFS(C83&lt;=25,"Grade C",C83&lt;=35,"Grade A",C83&lt;=55,"Grade B",C83&gt;55,"Grade D")</f>
        <v>Grade B</v>
      </c>
      <c r="P83" s="6" t="str">
        <f t="shared" si="3"/>
        <v>High</v>
      </c>
    </row>
    <row r="84" spans="1:16" x14ac:dyDescent="0.35">
      <c r="A84" s="1">
        <v>8367667</v>
      </c>
      <c r="B84" s="1" t="str">
        <f>TRIM('Raw Dataset'!B84)</f>
        <v>Hadi Kurniawan</v>
      </c>
      <c r="C84" s="1">
        <v>63</v>
      </c>
      <c r="D84" s="1" t="s">
        <v>12</v>
      </c>
      <c r="E84" s="8">
        <v>45190</v>
      </c>
      <c r="F84" s="1">
        <v>549381</v>
      </c>
      <c r="G84" s="8">
        <v>45200</v>
      </c>
      <c r="H84" s="1">
        <v>808</v>
      </c>
      <c r="I84" s="9">
        <v>83381153</v>
      </c>
      <c r="J84" s="9">
        <v>66089571</v>
      </c>
      <c r="K84" s="1" t="s">
        <v>36</v>
      </c>
      <c r="L84" s="1" t="str">
        <f>_xlfn.XLOOKUP(K84,Lookup!$G$4:$G$15,Lookup!$F$4:$F$15,"Unmapping",0,1)</f>
        <v>Sulawesi Tenggara</v>
      </c>
      <c r="M84" s="1" t="str">
        <f>VLOOKUP(H84,Lookup!$C$4:$D$9,2,0)</f>
        <v>Tab Umroh</v>
      </c>
      <c r="N84" s="6" t="str">
        <f t="shared" si="2"/>
        <v>Privilage</v>
      </c>
      <c r="O84" s="6" t="str" cm="1">
        <f t="array" ref="O84">_xlfn.IFS(C84&lt;=25,"Grade C",C84&lt;=35,"Grade A",C84&lt;=55,"Grade B",C84&gt;55,"Grade D")</f>
        <v>Grade D</v>
      </c>
      <c r="P84" s="6" t="str">
        <f t="shared" si="3"/>
        <v>High</v>
      </c>
    </row>
    <row r="85" spans="1:16" x14ac:dyDescent="0.35">
      <c r="A85" s="1">
        <v>4871181</v>
      </c>
      <c r="B85" s="1" t="str">
        <f>TRIM('Raw Dataset'!B85)</f>
        <v>Johan Nugroho</v>
      </c>
      <c r="C85" s="1">
        <v>19</v>
      </c>
      <c r="D85" s="1" t="s">
        <v>15</v>
      </c>
      <c r="E85" s="8">
        <v>45177</v>
      </c>
      <c r="F85" s="1">
        <v>722642</v>
      </c>
      <c r="G85" s="8">
        <v>45187</v>
      </c>
      <c r="H85" s="1">
        <v>413</v>
      </c>
      <c r="I85" s="9">
        <v>60919285</v>
      </c>
      <c r="J85" s="9">
        <v>89547268</v>
      </c>
      <c r="K85" s="1" t="s">
        <v>36</v>
      </c>
      <c r="L85" s="1" t="str">
        <f>_xlfn.XLOOKUP(K85,Lookup!$G$4:$G$15,Lookup!$F$4:$F$15,"Unmapping",0,1)</f>
        <v>Sulawesi Tenggara</v>
      </c>
      <c r="M85" s="1" t="str">
        <f>VLOOKUP(H85,Lookup!$C$4:$D$9,2,0)</f>
        <v xml:space="preserve">Tab Valas </v>
      </c>
      <c r="N85" s="6" t="str">
        <f t="shared" si="2"/>
        <v>Privilage</v>
      </c>
      <c r="O85" s="6" t="str" cm="1">
        <f t="array" ref="O85">_xlfn.IFS(C85&lt;=25,"Grade C",C85&lt;=35,"Grade A",C85&lt;=55,"Grade B",C85&gt;55,"Grade D")</f>
        <v>Grade C</v>
      </c>
      <c r="P85" s="6" t="str">
        <f t="shared" si="3"/>
        <v>High</v>
      </c>
    </row>
    <row r="86" spans="1:16" x14ac:dyDescent="0.35">
      <c r="A86" s="1">
        <v>7207670</v>
      </c>
      <c r="B86" s="1" t="str">
        <f>TRIM('Raw Dataset'!B86)</f>
        <v>Hadi Wijaya</v>
      </c>
      <c r="C86" s="1">
        <v>59</v>
      </c>
      <c r="D86" s="1" t="s">
        <v>15</v>
      </c>
      <c r="E86" s="8">
        <v>45120</v>
      </c>
      <c r="F86" s="1">
        <v>489609</v>
      </c>
      <c r="G86" s="8">
        <v>45130</v>
      </c>
      <c r="H86" s="1">
        <v>712</v>
      </c>
      <c r="I86" s="9">
        <v>59069653</v>
      </c>
      <c r="J86" s="9">
        <v>79142627</v>
      </c>
      <c r="K86" s="1" t="s">
        <v>36</v>
      </c>
      <c r="L86" s="1" t="str">
        <f>_xlfn.XLOOKUP(K86,Lookup!$G$4:$G$15,Lookup!$F$4:$F$15,"Unmapping",0,1)</f>
        <v>Sulawesi Tenggara</v>
      </c>
      <c r="M86" s="1" t="str">
        <f>VLOOKUP(H86,Lookup!$C$4:$D$9,2,0)</f>
        <v>Tab Syariah</v>
      </c>
      <c r="N86" s="6" t="str">
        <f t="shared" si="2"/>
        <v>Privilage</v>
      </c>
      <c r="O86" s="6" t="str" cm="1">
        <f t="array" ref="O86">_xlfn.IFS(C86&lt;=25,"Grade C",C86&lt;=35,"Grade A",C86&lt;=55,"Grade B",C86&gt;55,"Grade D")</f>
        <v>Grade D</v>
      </c>
      <c r="P86" s="6" t="str">
        <f t="shared" si="3"/>
        <v>High</v>
      </c>
    </row>
    <row r="87" spans="1:16" x14ac:dyDescent="0.35">
      <c r="A87" s="1">
        <v>6693300</v>
      </c>
      <c r="B87" s="1" t="str">
        <f>TRIM('Raw Dataset'!B87)</f>
        <v>Erna Syahputra</v>
      </c>
      <c r="C87" s="1">
        <v>48</v>
      </c>
      <c r="D87" s="1" t="s">
        <v>15</v>
      </c>
      <c r="E87" s="8">
        <v>45817</v>
      </c>
      <c r="F87" s="1">
        <v>276365</v>
      </c>
      <c r="G87" s="8">
        <v>45827</v>
      </c>
      <c r="H87" s="1">
        <v>808</v>
      </c>
      <c r="I87" s="9">
        <v>72676638</v>
      </c>
      <c r="J87" s="9">
        <v>83907733</v>
      </c>
      <c r="K87" s="1" t="s">
        <v>13</v>
      </c>
      <c r="L87" s="1" t="str">
        <f>_xlfn.XLOOKUP(K87,Lookup!$G$4:$G$15,Lookup!$F$4:$F$15,"Unmapping",0,1)</f>
        <v>Jawa Barat</v>
      </c>
      <c r="M87" s="1" t="str">
        <f>VLOOKUP(H87,Lookup!$C$4:$D$9,2,0)</f>
        <v>Tab Umroh</v>
      </c>
      <c r="N87" s="6" t="str">
        <f t="shared" si="2"/>
        <v>Privilage</v>
      </c>
      <c r="O87" s="6" t="str" cm="1">
        <f t="array" ref="O87">_xlfn.IFS(C87&lt;=25,"Grade C",C87&lt;=35,"Grade A",C87&lt;=55,"Grade B",C87&gt;55,"Grade D")</f>
        <v>Grade B</v>
      </c>
      <c r="P87" s="6" t="str">
        <f t="shared" si="3"/>
        <v>High</v>
      </c>
    </row>
    <row r="88" spans="1:16" x14ac:dyDescent="0.35">
      <c r="A88" s="1">
        <v>8726080</v>
      </c>
      <c r="B88" s="1" t="str">
        <f>TRIM('Raw Dataset'!B88)</f>
        <v>Gilang Handoko</v>
      </c>
      <c r="C88" s="1">
        <v>17</v>
      </c>
      <c r="D88" s="1" t="s">
        <v>15</v>
      </c>
      <c r="E88" s="8">
        <v>44773</v>
      </c>
      <c r="F88" s="1">
        <v>631995</v>
      </c>
      <c r="G88" s="8">
        <v>44783</v>
      </c>
      <c r="H88" s="1">
        <v>413</v>
      </c>
      <c r="I88" s="9">
        <v>50944921</v>
      </c>
      <c r="J88" s="9">
        <v>79879594</v>
      </c>
      <c r="K88" s="1" t="s">
        <v>13</v>
      </c>
      <c r="L88" s="1" t="str">
        <f>_xlfn.XLOOKUP(K88,Lookup!$G$4:$G$15,Lookup!$F$4:$F$15,"Unmapping",0,1)</f>
        <v>Jawa Barat</v>
      </c>
      <c r="M88" s="1" t="str">
        <f>VLOOKUP(H88,Lookup!$C$4:$D$9,2,0)</f>
        <v xml:space="preserve">Tab Valas </v>
      </c>
      <c r="N88" s="6" t="str">
        <f t="shared" si="2"/>
        <v>Privilage</v>
      </c>
      <c r="O88" s="6" t="str" cm="1">
        <f t="array" ref="O88">_xlfn.IFS(C88&lt;=25,"Grade C",C88&lt;=35,"Grade A",C88&lt;=55,"Grade B",C88&gt;55,"Grade D")</f>
        <v>Grade C</v>
      </c>
      <c r="P88" s="6" t="str">
        <f t="shared" si="3"/>
        <v>High</v>
      </c>
    </row>
    <row r="89" spans="1:16" x14ac:dyDescent="0.35">
      <c r="A89" s="1">
        <v>8834464</v>
      </c>
      <c r="B89" s="1" t="str">
        <f>TRIM('Raw Dataset'!B89)</f>
        <v>Citra Ramadhan</v>
      </c>
      <c r="C89" s="1">
        <v>60</v>
      </c>
      <c r="D89" s="1" t="s">
        <v>12</v>
      </c>
      <c r="E89" s="8">
        <v>44168</v>
      </c>
      <c r="F89" s="1">
        <v>291715</v>
      </c>
      <c r="G89" s="8">
        <v>44178</v>
      </c>
      <c r="H89" s="1">
        <v>712</v>
      </c>
      <c r="I89" s="9">
        <v>84920427</v>
      </c>
      <c r="J89" s="9">
        <v>63233452</v>
      </c>
      <c r="K89" s="1" t="s">
        <v>13</v>
      </c>
      <c r="L89" s="1" t="str">
        <f>_xlfn.XLOOKUP(K89,Lookup!$G$4:$G$15,Lookup!$F$4:$F$15,"Unmapping",0,1)</f>
        <v>Jawa Barat</v>
      </c>
      <c r="M89" s="1" t="str">
        <f>VLOOKUP(H89,Lookup!$C$4:$D$9,2,0)</f>
        <v>Tab Syariah</v>
      </c>
      <c r="N89" s="6" t="str">
        <f t="shared" si="2"/>
        <v>Privilage</v>
      </c>
      <c r="O89" s="6" t="str" cm="1">
        <f t="array" ref="O89">_xlfn.IFS(C89&lt;=25,"Grade C",C89&lt;=35,"Grade A",C89&lt;=55,"Grade B",C89&gt;55,"Grade D")</f>
        <v>Grade D</v>
      </c>
      <c r="P89" s="6" t="str">
        <f t="shared" si="3"/>
        <v>High</v>
      </c>
    </row>
    <row r="90" spans="1:16" x14ac:dyDescent="0.35">
      <c r="A90" s="1">
        <v>6653355</v>
      </c>
      <c r="B90" s="1" t="str">
        <f>TRIM('Raw Dataset'!B90)</f>
        <v>Eka Kurniawan</v>
      </c>
      <c r="C90" s="1">
        <v>60</v>
      </c>
      <c r="D90" s="1" t="s">
        <v>12</v>
      </c>
      <c r="E90" s="8">
        <v>45081</v>
      </c>
      <c r="F90" s="1">
        <v>751966</v>
      </c>
      <c r="G90" s="8">
        <v>45091</v>
      </c>
      <c r="H90" s="1">
        <v>808</v>
      </c>
      <c r="I90" s="9">
        <v>59021708</v>
      </c>
      <c r="J90" s="9">
        <v>84813504</v>
      </c>
      <c r="K90" s="1" t="s">
        <v>13</v>
      </c>
      <c r="L90" s="1" t="str">
        <f>_xlfn.XLOOKUP(K90,Lookup!$G$4:$G$15,Lookup!$F$4:$F$15,"Unmapping",0,1)</f>
        <v>Jawa Barat</v>
      </c>
      <c r="M90" s="1" t="str">
        <f>VLOOKUP(H90,Lookup!$C$4:$D$9,2,0)</f>
        <v>Tab Umroh</v>
      </c>
      <c r="N90" s="6" t="str">
        <f t="shared" si="2"/>
        <v>Privilage</v>
      </c>
      <c r="O90" s="6" t="str" cm="1">
        <f t="array" ref="O90">_xlfn.IFS(C90&lt;=25,"Grade C",C90&lt;=35,"Grade A",C90&lt;=55,"Grade B",C90&gt;55,"Grade D")</f>
        <v>Grade D</v>
      </c>
      <c r="P90" s="6" t="str">
        <f t="shared" si="3"/>
        <v>High</v>
      </c>
    </row>
    <row r="91" spans="1:16" x14ac:dyDescent="0.35">
      <c r="A91" s="1">
        <v>4985295</v>
      </c>
      <c r="B91" s="1" t="str">
        <f>TRIM('Raw Dataset'!B91)</f>
        <v>Hadi Saputra</v>
      </c>
      <c r="C91" s="1">
        <v>16</v>
      </c>
      <c r="D91" s="1" t="s">
        <v>15</v>
      </c>
      <c r="E91" s="8">
        <v>43912</v>
      </c>
      <c r="F91" s="1">
        <v>540133</v>
      </c>
      <c r="G91" s="8">
        <v>43922</v>
      </c>
      <c r="H91" s="1">
        <v>413</v>
      </c>
      <c r="I91" s="9">
        <v>78560126</v>
      </c>
      <c r="J91" s="9">
        <v>63794701</v>
      </c>
      <c r="K91" s="1" t="s">
        <v>13</v>
      </c>
      <c r="L91" s="1" t="str">
        <f>_xlfn.XLOOKUP(K91,Lookup!$G$4:$G$15,Lookup!$F$4:$F$15,"Unmapping",0,1)</f>
        <v>Jawa Barat</v>
      </c>
      <c r="M91" s="1" t="str">
        <f>VLOOKUP(H91,Lookup!$C$4:$D$9,2,0)</f>
        <v xml:space="preserve">Tab Valas </v>
      </c>
      <c r="N91" s="6" t="str">
        <f t="shared" si="2"/>
        <v>Privilage</v>
      </c>
      <c r="O91" s="6" t="str" cm="1">
        <f t="array" ref="O91">_xlfn.IFS(C91&lt;=25,"Grade C",C91&lt;=35,"Grade A",C91&lt;=55,"Grade B",C91&gt;55,"Grade D")</f>
        <v>Grade C</v>
      </c>
      <c r="P91" s="6" t="str">
        <f t="shared" si="3"/>
        <v>High</v>
      </c>
    </row>
    <row r="92" spans="1:16" x14ac:dyDescent="0.35">
      <c r="A92" s="1">
        <v>5797818</v>
      </c>
      <c r="B92" s="1" t="str">
        <f>TRIM('Raw Dataset'!B92)</f>
        <v>Erna Putra</v>
      </c>
      <c r="C92" s="1">
        <v>26</v>
      </c>
      <c r="D92" s="1" t="s">
        <v>12</v>
      </c>
      <c r="E92" s="8">
        <v>45300</v>
      </c>
      <c r="F92" s="1">
        <v>725048</v>
      </c>
      <c r="G92" s="8">
        <v>45310</v>
      </c>
      <c r="H92" s="1">
        <v>712</v>
      </c>
      <c r="I92" s="9">
        <v>96810125</v>
      </c>
      <c r="J92" s="9">
        <v>57079576</v>
      </c>
      <c r="K92" s="1" t="s">
        <v>13</v>
      </c>
      <c r="L92" s="1" t="str">
        <f>_xlfn.XLOOKUP(K92,Lookup!$G$4:$G$15,Lookup!$F$4:$F$15,"Unmapping",0,1)</f>
        <v>Jawa Barat</v>
      </c>
      <c r="M92" s="1" t="str">
        <f>VLOOKUP(H92,Lookup!$C$4:$D$9,2,0)</f>
        <v>Tab Syariah</v>
      </c>
      <c r="N92" s="6" t="str">
        <f t="shared" si="2"/>
        <v>Privilage</v>
      </c>
      <c r="O92" s="6" t="str" cm="1">
        <f t="array" ref="O92">_xlfn.IFS(C92&lt;=25,"Grade C",C92&lt;=35,"Grade A",C92&lt;=55,"Grade B",C92&gt;55,"Grade D")</f>
        <v>Grade A</v>
      </c>
      <c r="P92" s="6" t="str">
        <f t="shared" si="3"/>
        <v>High</v>
      </c>
    </row>
    <row r="93" spans="1:16" x14ac:dyDescent="0.35">
      <c r="A93" s="1">
        <v>4908716</v>
      </c>
      <c r="B93" s="1" t="str">
        <f>TRIM('Raw Dataset'!B93)</f>
        <v>Yudi Rahayu</v>
      </c>
      <c r="C93" s="1">
        <v>20</v>
      </c>
      <c r="D93" s="1" t="s">
        <v>15</v>
      </c>
      <c r="E93" s="8">
        <v>45141</v>
      </c>
      <c r="F93" s="1">
        <v>289840</v>
      </c>
      <c r="G93" s="8">
        <v>45151</v>
      </c>
      <c r="H93" s="1">
        <v>621</v>
      </c>
      <c r="I93" s="9">
        <v>74399887</v>
      </c>
      <c r="J93" s="9">
        <v>67801482</v>
      </c>
      <c r="K93" s="1" t="s">
        <v>13</v>
      </c>
      <c r="L93" s="1" t="str">
        <f>_xlfn.XLOOKUP(K93,Lookup!$G$4:$G$15,Lookup!$F$4:$F$15,"Unmapping",0,1)</f>
        <v>Jawa Barat</v>
      </c>
      <c r="M93" s="1" t="str">
        <f>VLOOKUP(H93,Lookup!$C$4:$D$9,2,0)</f>
        <v>Tab Hajj</v>
      </c>
      <c r="N93" s="6" t="str">
        <f t="shared" si="2"/>
        <v>Privilage</v>
      </c>
      <c r="O93" s="6" t="str" cm="1">
        <f t="array" ref="O93">_xlfn.IFS(C93&lt;=25,"Grade C",C93&lt;=35,"Grade A",C93&lt;=55,"Grade B",C93&gt;55,"Grade D")</f>
        <v>Grade C</v>
      </c>
      <c r="P93" s="6" t="str">
        <f t="shared" si="3"/>
        <v>High</v>
      </c>
    </row>
    <row r="94" spans="1:16" x14ac:dyDescent="0.35">
      <c r="A94" s="1">
        <v>3001920</v>
      </c>
      <c r="B94" s="1" t="str">
        <f>TRIM('Raw Dataset'!B94)</f>
        <v>Rina Ramadhan</v>
      </c>
      <c r="C94" s="1">
        <v>16</v>
      </c>
      <c r="D94" s="1" t="s">
        <v>12</v>
      </c>
      <c r="E94" s="8">
        <v>45086</v>
      </c>
      <c r="F94" s="1">
        <v>234505</v>
      </c>
      <c r="G94" s="8">
        <v>45096</v>
      </c>
      <c r="H94" s="1">
        <v>620</v>
      </c>
      <c r="I94" s="9">
        <v>66299284</v>
      </c>
      <c r="J94" s="9">
        <v>64243344</v>
      </c>
      <c r="K94" s="1" t="s">
        <v>13</v>
      </c>
      <c r="L94" s="1" t="str">
        <f>_xlfn.XLOOKUP(K94,Lookup!$G$4:$G$15,Lookup!$F$4:$F$15,"Unmapping",0,1)</f>
        <v>Jawa Barat</v>
      </c>
      <c r="M94" s="1" t="str">
        <f>VLOOKUP(H94,Lookup!$C$4:$D$9,2,0)</f>
        <v>Wadiah</v>
      </c>
      <c r="N94" s="6" t="str">
        <f t="shared" si="2"/>
        <v>Privilage</v>
      </c>
      <c r="O94" s="6" t="str" cm="1">
        <f t="array" ref="O94">_xlfn.IFS(C94&lt;=25,"Grade C",C94&lt;=35,"Grade A",C94&lt;=55,"Grade B",C94&gt;55,"Grade D")</f>
        <v>Grade C</v>
      </c>
      <c r="P94" s="6" t="str">
        <f t="shared" si="3"/>
        <v>High</v>
      </c>
    </row>
    <row r="95" spans="1:16" x14ac:dyDescent="0.35">
      <c r="A95" s="1">
        <v>8476976</v>
      </c>
      <c r="B95" s="1" t="str">
        <f>TRIM('Raw Dataset'!B95)</f>
        <v>Oki Purnama</v>
      </c>
      <c r="C95" s="1">
        <v>58</v>
      </c>
      <c r="D95" s="1" t="s">
        <v>12</v>
      </c>
      <c r="E95" s="8">
        <v>44907</v>
      </c>
      <c r="F95" s="1">
        <v>492729</v>
      </c>
      <c r="G95" s="8">
        <v>44917</v>
      </c>
      <c r="H95" s="1">
        <v>521</v>
      </c>
      <c r="I95" s="9">
        <v>97731020</v>
      </c>
      <c r="J95" s="9">
        <v>55507301</v>
      </c>
      <c r="K95" s="1" t="s">
        <v>13</v>
      </c>
      <c r="L95" s="1" t="str">
        <f>_xlfn.XLOOKUP(K95,Lookup!$G$4:$G$15,Lookup!$F$4:$F$15,"Unmapping",0,1)</f>
        <v>Jawa Barat</v>
      </c>
      <c r="M95" s="1" t="str">
        <f>VLOOKUP(H95,Lookup!$C$4:$D$9,2,0)</f>
        <v>Special Hajj</v>
      </c>
      <c r="N95" s="6" t="str">
        <f t="shared" si="2"/>
        <v>Privilage</v>
      </c>
      <c r="O95" s="6" t="str" cm="1">
        <f t="array" ref="O95">_xlfn.IFS(C95&lt;=25,"Grade C",C95&lt;=35,"Grade A",C95&lt;=55,"Grade B",C95&gt;55,"Grade D")</f>
        <v>Grade D</v>
      </c>
      <c r="P95" s="6" t="str">
        <f t="shared" si="3"/>
        <v>High</v>
      </c>
    </row>
    <row r="96" spans="1:16" x14ac:dyDescent="0.35">
      <c r="A96" s="1">
        <v>2200915</v>
      </c>
      <c r="B96" s="1" t="str">
        <f>TRIM('Raw Dataset'!B96)</f>
        <v>Wulan Syahputra</v>
      </c>
      <c r="C96" s="1">
        <v>53</v>
      </c>
      <c r="D96" s="1" t="s">
        <v>15</v>
      </c>
      <c r="E96" s="8">
        <v>43888</v>
      </c>
      <c r="F96" s="1">
        <v>857126</v>
      </c>
      <c r="G96" s="8">
        <v>43898</v>
      </c>
      <c r="H96" s="1">
        <v>808</v>
      </c>
      <c r="I96" s="9">
        <v>56871376</v>
      </c>
      <c r="J96" s="9">
        <v>95002187</v>
      </c>
      <c r="K96" s="1" t="s">
        <v>13</v>
      </c>
      <c r="L96" s="1" t="str">
        <f>_xlfn.XLOOKUP(K96,Lookup!$G$4:$G$15,Lookup!$F$4:$F$15,"Unmapping",0,1)</f>
        <v>Jawa Barat</v>
      </c>
      <c r="M96" s="1" t="str">
        <f>VLOOKUP(H96,Lookup!$C$4:$D$9,2,0)</f>
        <v>Tab Umroh</v>
      </c>
      <c r="N96" s="6" t="str">
        <f t="shared" si="2"/>
        <v>Privilage</v>
      </c>
      <c r="O96" s="6" t="str" cm="1">
        <f t="array" ref="O96">_xlfn.IFS(C96&lt;=25,"Grade C",C96&lt;=35,"Grade A",C96&lt;=55,"Grade B",C96&gt;55,"Grade D")</f>
        <v>Grade B</v>
      </c>
      <c r="P96" s="6" t="str">
        <f t="shared" si="3"/>
        <v>High</v>
      </c>
    </row>
    <row r="97" spans="1:16" x14ac:dyDescent="0.35">
      <c r="A97" s="1">
        <v>8163195</v>
      </c>
      <c r="B97" s="1" t="str">
        <f>TRIM('Raw Dataset'!B97)</f>
        <v>Johan Sari</v>
      </c>
      <c r="C97" s="1">
        <v>24</v>
      </c>
      <c r="D97" s="1" t="s">
        <v>12</v>
      </c>
      <c r="E97" s="8">
        <v>44244</v>
      </c>
      <c r="F97" s="1">
        <v>661766</v>
      </c>
      <c r="G97" s="8">
        <v>44254</v>
      </c>
      <c r="H97" s="1">
        <v>413</v>
      </c>
      <c r="I97" s="9">
        <v>67245020</v>
      </c>
      <c r="J97" s="9">
        <v>87828369</v>
      </c>
      <c r="K97" s="1" t="s">
        <v>13</v>
      </c>
      <c r="L97" s="1" t="str">
        <f>_xlfn.XLOOKUP(K97,Lookup!$G$4:$G$15,Lookup!$F$4:$F$15,"Unmapping",0,1)</f>
        <v>Jawa Barat</v>
      </c>
      <c r="M97" s="1" t="str">
        <f>VLOOKUP(H97,Lookup!$C$4:$D$9,2,0)</f>
        <v xml:space="preserve">Tab Valas </v>
      </c>
      <c r="N97" s="6" t="str">
        <f t="shared" si="2"/>
        <v>Privilage</v>
      </c>
      <c r="O97" s="6" t="str" cm="1">
        <f t="array" ref="O97">_xlfn.IFS(C97&lt;=25,"Grade C",C97&lt;=35,"Grade A",C97&lt;=55,"Grade B",C97&gt;55,"Grade D")</f>
        <v>Grade C</v>
      </c>
      <c r="P97" s="6" t="str">
        <f t="shared" si="3"/>
        <v>High</v>
      </c>
    </row>
    <row r="98" spans="1:16" x14ac:dyDescent="0.35">
      <c r="A98" s="1">
        <v>6714157</v>
      </c>
      <c r="B98" s="1" t="str">
        <f>TRIM('Raw Dataset'!B98)</f>
        <v>Maya Handoko</v>
      </c>
      <c r="C98" s="1">
        <v>50</v>
      </c>
      <c r="D98" s="1" t="s">
        <v>15</v>
      </c>
      <c r="E98" s="8">
        <v>44333</v>
      </c>
      <c r="F98" s="1">
        <v>708265</v>
      </c>
      <c r="G98" s="8">
        <v>44343</v>
      </c>
      <c r="H98" s="1">
        <v>712</v>
      </c>
      <c r="I98" s="9">
        <v>89632824</v>
      </c>
      <c r="J98" s="9">
        <v>72095082</v>
      </c>
      <c r="K98" s="1" t="s">
        <v>13</v>
      </c>
      <c r="L98" s="1" t="str">
        <f>_xlfn.XLOOKUP(K98,Lookup!$G$4:$G$15,Lookup!$F$4:$F$15,"Unmapping",0,1)</f>
        <v>Jawa Barat</v>
      </c>
      <c r="M98" s="1" t="str">
        <f>VLOOKUP(H98,Lookup!$C$4:$D$9,2,0)</f>
        <v>Tab Syariah</v>
      </c>
      <c r="N98" s="6" t="str">
        <f t="shared" si="2"/>
        <v>Privilage</v>
      </c>
      <c r="O98" s="6" t="str" cm="1">
        <f t="array" ref="O98">_xlfn.IFS(C98&lt;=25,"Grade C",C98&lt;=35,"Grade A",C98&lt;=55,"Grade B",C98&gt;55,"Grade D")</f>
        <v>Grade B</v>
      </c>
      <c r="P98" s="6" t="str">
        <f t="shared" si="3"/>
        <v>High</v>
      </c>
    </row>
    <row r="99" spans="1:16" x14ac:dyDescent="0.35">
      <c r="A99" s="1">
        <v>3989170</v>
      </c>
      <c r="B99" s="1" t="str">
        <f>TRIM('Raw Dataset'!B99)</f>
        <v>Citra Putra</v>
      </c>
      <c r="C99" s="1">
        <v>48</v>
      </c>
      <c r="D99" s="1" t="s">
        <v>12</v>
      </c>
      <c r="E99" s="8">
        <v>45298</v>
      </c>
      <c r="F99" s="1">
        <v>529844</v>
      </c>
      <c r="G99" s="8">
        <v>45308</v>
      </c>
      <c r="H99" s="1">
        <v>621</v>
      </c>
      <c r="I99" s="9">
        <v>58073234</v>
      </c>
      <c r="J99" s="9">
        <v>50510168</v>
      </c>
      <c r="K99" s="1" t="s">
        <v>13</v>
      </c>
      <c r="L99" s="1" t="str">
        <f>_xlfn.XLOOKUP(K99,Lookup!$G$4:$G$15,Lookup!$F$4:$F$15,"Unmapping",0,1)</f>
        <v>Jawa Barat</v>
      </c>
      <c r="M99" s="1" t="str">
        <f>VLOOKUP(H99,Lookup!$C$4:$D$9,2,0)</f>
        <v>Tab Hajj</v>
      </c>
      <c r="N99" s="6" t="str">
        <f t="shared" si="2"/>
        <v>Privilage</v>
      </c>
      <c r="O99" s="6" t="str" cm="1">
        <f t="array" ref="O99">_xlfn.IFS(C99&lt;=25,"Grade C",C99&lt;=35,"Grade A",C99&lt;=55,"Grade B",C99&gt;55,"Grade D")</f>
        <v>Grade B</v>
      </c>
      <c r="P99" s="6" t="str">
        <f t="shared" si="3"/>
        <v>High</v>
      </c>
    </row>
    <row r="100" spans="1:16" x14ac:dyDescent="0.35">
      <c r="A100" s="1">
        <v>7119949</v>
      </c>
      <c r="B100" s="1" t="str">
        <f>TRIM('Raw Dataset'!B100)</f>
        <v>Erna Lestari</v>
      </c>
      <c r="C100" s="1">
        <v>15</v>
      </c>
      <c r="D100" s="1" t="s">
        <v>12</v>
      </c>
      <c r="E100" s="8">
        <v>44144</v>
      </c>
      <c r="F100" s="1">
        <v>837637</v>
      </c>
      <c r="G100" s="8">
        <v>44154</v>
      </c>
      <c r="H100" s="1">
        <v>620</v>
      </c>
      <c r="I100" s="9">
        <v>85236303</v>
      </c>
      <c r="J100" s="9">
        <v>80285402</v>
      </c>
      <c r="K100" s="1" t="s">
        <v>13</v>
      </c>
      <c r="L100" s="1" t="str">
        <f>_xlfn.XLOOKUP(K100,Lookup!$G$4:$G$15,Lookup!$F$4:$F$15,"Unmapping",0,1)</f>
        <v>Jawa Barat</v>
      </c>
      <c r="M100" s="1" t="str">
        <f>VLOOKUP(H100,Lookup!$C$4:$D$9,2,0)</f>
        <v>Wadiah</v>
      </c>
      <c r="N100" s="6" t="str">
        <f t="shared" si="2"/>
        <v>Privilage</v>
      </c>
      <c r="O100" s="6" t="str" cm="1">
        <f t="array" ref="O100">_xlfn.IFS(C100&lt;=25,"Grade C",C100&lt;=35,"Grade A",C100&lt;=55,"Grade B",C100&gt;55,"Grade D")</f>
        <v>Grade C</v>
      </c>
      <c r="P100" s="6" t="str">
        <f t="shared" si="3"/>
        <v>High</v>
      </c>
    </row>
    <row r="101" spans="1:16" x14ac:dyDescent="0.35">
      <c r="A101" s="1">
        <v>1662297</v>
      </c>
      <c r="B101" s="1" t="str">
        <f>TRIM('Raw Dataset'!B101)</f>
        <v>Lina Hidayat</v>
      </c>
      <c r="C101" s="1">
        <v>23</v>
      </c>
      <c r="D101" s="1" t="s">
        <v>12</v>
      </c>
      <c r="E101" s="8">
        <v>45234</v>
      </c>
      <c r="F101" s="1">
        <v>881580</v>
      </c>
      <c r="G101" s="8">
        <v>45244</v>
      </c>
      <c r="H101" s="1">
        <v>521</v>
      </c>
      <c r="I101" s="9">
        <v>81061561</v>
      </c>
      <c r="J101" s="9">
        <v>76107320</v>
      </c>
      <c r="K101" s="1" t="s">
        <v>16</v>
      </c>
      <c r="L101" s="1" t="str">
        <f>_xlfn.XLOOKUP(K101,Lookup!$G$4:$G$15,Lookup!$F$4:$F$15,"Unmapping",0,1)</f>
        <v>Sumatera Selatan</v>
      </c>
      <c r="M101" s="1" t="str">
        <f>VLOOKUP(H101,Lookup!$C$4:$D$9,2,0)</f>
        <v>Special Hajj</v>
      </c>
      <c r="N101" s="6" t="str">
        <f t="shared" si="2"/>
        <v>Privilage</v>
      </c>
      <c r="O101" s="6" t="str" cm="1">
        <f t="array" ref="O101">_xlfn.IFS(C101&lt;=25,"Grade C",C101&lt;=35,"Grade A",C101&lt;=55,"Grade B",C101&gt;55,"Grade D")</f>
        <v>Grade C</v>
      </c>
      <c r="P101" s="6" t="str">
        <f t="shared" si="3"/>
        <v>High</v>
      </c>
    </row>
    <row r="102" spans="1:16" x14ac:dyDescent="0.35">
      <c r="A102" s="1">
        <v>1173603</v>
      </c>
      <c r="B102" s="1" t="str">
        <f>TRIM('Raw Dataset'!B102)</f>
        <v>Erna Susanto</v>
      </c>
      <c r="C102" s="1">
        <v>30</v>
      </c>
      <c r="D102" s="1" t="s">
        <v>12</v>
      </c>
      <c r="E102" s="8">
        <v>45878</v>
      </c>
      <c r="F102" s="1">
        <v>614331</v>
      </c>
      <c r="G102" s="8">
        <v>45888</v>
      </c>
      <c r="H102" s="1">
        <v>808</v>
      </c>
      <c r="I102" s="9">
        <v>96772327</v>
      </c>
      <c r="J102" s="9">
        <v>77560381</v>
      </c>
      <c r="K102" s="1" t="s">
        <v>16</v>
      </c>
      <c r="L102" s="1" t="str">
        <f>_xlfn.XLOOKUP(K102,Lookup!$G$4:$G$15,Lookup!$F$4:$F$15,"Unmapping",0,1)</f>
        <v>Sumatera Selatan</v>
      </c>
      <c r="M102" s="1" t="str">
        <f>VLOOKUP(H102,Lookup!$C$4:$D$9,2,0)</f>
        <v>Tab Umroh</v>
      </c>
      <c r="N102" s="6" t="str">
        <f t="shared" si="2"/>
        <v>Privilage</v>
      </c>
      <c r="O102" s="6" t="str" cm="1">
        <f t="array" ref="O102">_xlfn.IFS(C102&lt;=25,"Grade C",C102&lt;=35,"Grade A",C102&lt;=55,"Grade B",C102&gt;55,"Grade D")</f>
        <v>Grade A</v>
      </c>
      <c r="P102" s="6" t="str">
        <f t="shared" si="3"/>
        <v>High</v>
      </c>
    </row>
    <row r="103" spans="1:16" x14ac:dyDescent="0.35">
      <c r="A103" s="1">
        <v>5267253</v>
      </c>
      <c r="B103" s="1" t="str">
        <f>TRIM('Raw Dataset'!B103)</f>
        <v>Dian Nugroho</v>
      </c>
      <c r="C103" s="1">
        <v>57</v>
      </c>
      <c r="D103" s="1" t="s">
        <v>15</v>
      </c>
      <c r="E103" s="8">
        <v>44545</v>
      </c>
      <c r="F103" s="1">
        <v>600005</v>
      </c>
      <c r="G103" s="8">
        <v>44555</v>
      </c>
      <c r="H103" s="1">
        <v>413</v>
      </c>
      <c r="I103" s="9">
        <v>59469562</v>
      </c>
      <c r="J103" s="9">
        <v>74906911</v>
      </c>
      <c r="K103" s="1" t="s">
        <v>16</v>
      </c>
      <c r="L103" s="1" t="str">
        <f>_xlfn.XLOOKUP(K103,Lookup!$G$4:$G$15,Lookup!$F$4:$F$15,"Unmapping",0,1)</f>
        <v>Sumatera Selatan</v>
      </c>
      <c r="M103" s="1" t="str">
        <f>VLOOKUP(H103,Lookup!$C$4:$D$9,2,0)</f>
        <v xml:space="preserve">Tab Valas </v>
      </c>
      <c r="N103" s="6" t="str">
        <f t="shared" si="2"/>
        <v>Privilage</v>
      </c>
      <c r="O103" s="6" t="str" cm="1">
        <f t="array" ref="O103">_xlfn.IFS(C103&lt;=25,"Grade C",C103&lt;=35,"Grade A",C103&lt;=55,"Grade B",C103&gt;55,"Grade D")</f>
        <v>Grade D</v>
      </c>
      <c r="P103" s="6" t="str">
        <f t="shared" si="3"/>
        <v>High</v>
      </c>
    </row>
    <row r="104" spans="1:16" x14ac:dyDescent="0.35">
      <c r="A104" s="1">
        <v>2654440</v>
      </c>
      <c r="B104" s="1" t="str">
        <f>TRIM('Raw Dataset'!B104)</f>
        <v>Indah Halim</v>
      </c>
      <c r="C104" s="1">
        <v>24</v>
      </c>
      <c r="D104" s="1" t="s">
        <v>15</v>
      </c>
      <c r="E104" s="8">
        <v>44322</v>
      </c>
      <c r="F104" s="1">
        <v>653981</v>
      </c>
      <c r="G104" s="8">
        <v>44332</v>
      </c>
      <c r="H104" s="1">
        <v>712</v>
      </c>
      <c r="I104" s="9">
        <v>51068607</v>
      </c>
      <c r="J104" s="9">
        <v>59842838</v>
      </c>
      <c r="K104" s="1" t="s">
        <v>16</v>
      </c>
      <c r="L104" s="1" t="str">
        <f>_xlfn.XLOOKUP(K104,Lookup!$G$4:$G$15,Lookup!$F$4:$F$15,"Unmapping",0,1)</f>
        <v>Sumatera Selatan</v>
      </c>
      <c r="M104" s="1" t="str">
        <f>VLOOKUP(H104,Lookup!$C$4:$D$9,2,0)</f>
        <v>Tab Syariah</v>
      </c>
      <c r="N104" s="6" t="str">
        <f t="shared" si="2"/>
        <v>Privilage</v>
      </c>
      <c r="O104" s="6" t="str" cm="1">
        <f t="array" ref="O104">_xlfn.IFS(C104&lt;=25,"Grade C",C104&lt;=35,"Grade A",C104&lt;=55,"Grade B",C104&gt;55,"Grade D")</f>
        <v>Grade C</v>
      </c>
      <c r="P104" s="6" t="str">
        <f t="shared" si="3"/>
        <v>High</v>
      </c>
    </row>
    <row r="105" spans="1:16" x14ac:dyDescent="0.35">
      <c r="A105" s="1">
        <v>1813196</v>
      </c>
      <c r="B105" s="1" t="str">
        <f>TRIM('Raw Dataset'!B105)</f>
        <v>Indah Siregar</v>
      </c>
      <c r="C105" s="1">
        <v>56</v>
      </c>
      <c r="D105" s="1" t="s">
        <v>12</v>
      </c>
      <c r="E105" s="8">
        <v>44500</v>
      </c>
      <c r="F105" s="1">
        <v>557397</v>
      </c>
      <c r="G105" s="8">
        <v>44510</v>
      </c>
      <c r="H105" s="1">
        <v>621</v>
      </c>
      <c r="I105" s="9">
        <v>75836407</v>
      </c>
      <c r="J105" s="9">
        <v>69305896</v>
      </c>
      <c r="K105" s="1" t="s">
        <v>16</v>
      </c>
      <c r="L105" s="1" t="str">
        <f>_xlfn.XLOOKUP(K105,Lookup!$G$4:$G$15,Lookup!$F$4:$F$15,"Unmapping",0,1)</f>
        <v>Sumatera Selatan</v>
      </c>
      <c r="M105" s="1" t="str">
        <f>VLOOKUP(H105,Lookup!$C$4:$D$9,2,0)</f>
        <v>Tab Hajj</v>
      </c>
      <c r="N105" s="6" t="str">
        <f t="shared" si="2"/>
        <v>Privilage</v>
      </c>
      <c r="O105" s="6" t="str" cm="1">
        <f t="array" ref="O105">_xlfn.IFS(C105&lt;=25,"Grade C",C105&lt;=35,"Grade A",C105&lt;=55,"Grade B",C105&gt;55,"Grade D")</f>
        <v>Grade D</v>
      </c>
      <c r="P105" s="6" t="str">
        <f t="shared" si="3"/>
        <v>High</v>
      </c>
    </row>
    <row r="106" spans="1:16" x14ac:dyDescent="0.35">
      <c r="A106" s="1">
        <v>8239097</v>
      </c>
      <c r="B106" s="1" t="str">
        <f>TRIM('Raw Dataset'!B106)</f>
        <v>Zahra Saputri</v>
      </c>
      <c r="C106" s="1">
        <v>42</v>
      </c>
      <c r="D106" s="1" t="s">
        <v>15</v>
      </c>
      <c r="E106" s="8">
        <v>44945</v>
      </c>
      <c r="F106" s="1">
        <v>388879</v>
      </c>
      <c r="G106" s="8">
        <v>44955</v>
      </c>
      <c r="H106" s="1">
        <v>620</v>
      </c>
      <c r="I106" s="9">
        <v>80858468</v>
      </c>
      <c r="J106" s="9">
        <v>75400219</v>
      </c>
      <c r="K106" s="1" t="s">
        <v>16</v>
      </c>
      <c r="L106" s="1" t="str">
        <f>_xlfn.XLOOKUP(K106,Lookup!$G$4:$G$15,Lookup!$F$4:$F$15,"Unmapping",0,1)</f>
        <v>Sumatera Selatan</v>
      </c>
      <c r="M106" s="1" t="str">
        <f>VLOOKUP(H106,Lookup!$C$4:$D$9,2,0)</f>
        <v>Wadiah</v>
      </c>
      <c r="N106" s="6" t="str">
        <f t="shared" si="2"/>
        <v>Privilage</v>
      </c>
      <c r="O106" s="6" t="str" cm="1">
        <f t="array" ref="O106">_xlfn.IFS(C106&lt;=25,"Grade C",C106&lt;=35,"Grade A",C106&lt;=55,"Grade B",C106&gt;55,"Grade D")</f>
        <v>Grade B</v>
      </c>
      <c r="P106" s="6" t="str">
        <f t="shared" si="3"/>
        <v>High</v>
      </c>
    </row>
    <row r="107" spans="1:16" x14ac:dyDescent="0.35">
      <c r="A107" s="1">
        <v>7262729</v>
      </c>
      <c r="B107" s="1" t="str">
        <f>TRIM('Raw Dataset'!B107)</f>
        <v>Oki Kurniawan</v>
      </c>
      <c r="C107" s="1">
        <v>27</v>
      </c>
      <c r="D107" s="1" t="s">
        <v>12</v>
      </c>
      <c r="E107" s="8">
        <v>45246</v>
      </c>
      <c r="F107" s="1">
        <v>389922</v>
      </c>
      <c r="G107" s="8">
        <v>45256</v>
      </c>
      <c r="H107" s="1">
        <v>521</v>
      </c>
      <c r="I107" s="9">
        <v>93736628</v>
      </c>
      <c r="J107" s="9">
        <v>81459932</v>
      </c>
      <c r="K107" s="1" t="s">
        <v>16</v>
      </c>
      <c r="L107" s="1" t="str">
        <f>_xlfn.XLOOKUP(K107,Lookup!$G$4:$G$15,Lookup!$F$4:$F$15,"Unmapping",0,1)</f>
        <v>Sumatera Selatan</v>
      </c>
      <c r="M107" s="1" t="str">
        <f>VLOOKUP(H107,Lookup!$C$4:$D$9,2,0)</f>
        <v>Special Hajj</v>
      </c>
      <c r="N107" s="6" t="str">
        <f t="shared" si="2"/>
        <v>Privilage</v>
      </c>
      <c r="O107" s="6" t="str" cm="1">
        <f t="array" ref="O107">_xlfn.IFS(C107&lt;=25,"Grade C",C107&lt;=35,"Grade A",C107&lt;=55,"Grade B",C107&gt;55,"Grade D")</f>
        <v>Grade A</v>
      </c>
      <c r="P107" s="6" t="str">
        <f t="shared" si="3"/>
        <v>High</v>
      </c>
    </row>
    <row r="108" spans="1:16" x14ac:dyDescent="0.35">
      <c r="A108" s="1">
        <v>6622851</v>
      </c>
      <c r="B108" s="1" t="str">
        <f>TRIM('Raw Dataset'!B108)</f>
        <v>Johan Hidayat</v>
      </c>
      <c r="C108" s="1">
        <v>33</v>
      </c>
      <c r="D108" s="1" t="s">
        <v>12</v>
      </c>
      <c r="E108" s="8">
        <v>45786</v>
      </c>
      <c r="F108" s="1">
        <v>363971</v>
      </c>
      <c r="G108" s="8">
        <v>45796</v>
      </c>
      <c r="H108" s="1">
        <v>808</v>
      </c>
      <c r="I108" s="9">
        <v>68609164</v>
      </c>
      <c r="J108" s="9">
        <v>79167284</v>
      </c>
      <c r="K108" s="1" t="s">
        <v>13</v>
      </c>
      <c r="L108" s="1" t="str">
        <f>_xlfn.XLOOKUP(K108,Lookup!$G$4:$G$15,Lookup!$F$4:$F$15,"Unmapping",0,1)</f>
        <v>Jawa Barat</v>
      </c>
      <c r="M108" s="1" t="str">
        <f>VLOOKUP(H108,Lookup!$C$4:$D$9,2,0)</f>
        <v>Tab Umroh</v>
      </c>
      <c r="N108" s="6" t="str">
        <f t="shared" si="2"/>
        <v>Privilage</v>
      </c>
      <c r="O108" s="6" t="str" cm="1">
        <f t="array" ref="O108">_xlfn.IFS(C108&lt;=25,"Grade C",C108&lt;=35,"Grade A",C108&lt;=55,"Grade B",C108&gt;55,"Grade D")</f>
        <v>Grade A</v>
      </c>
      <c r="P108" s="6" t="str">
        <f t="shared" si="3"/>
        <v>High</v>
      </c>
    </row>
    <row r="109" spans="1:16" x14ac:dyDescent="0.35">
      <c r="A109" s="1">
        <v>6854483</v>
      </c>
      <c r="B109" s="1" t="str">
        <f>TRIM('Raw Dataset'!B109)</f>
        <v>Fajar Setiawan</v>
      </c>
      <c r="C109" s="1">
        <v>51</v>
      </c>
      <c r="D109" s="1" t="s">
        <v>15</v>
      </c>
      <c r="E109" s="8">
        <v>44473</v>
      </c>
      <c r="F109" s="1">
        <v>820793</v>
      </c>
      <c r="G109" s="8">
        <v>44483</v>
      </c>
      <c r="H109" s="1">
        <v>413</v>
      </c>
      <c r="I109" s="9">
        <v>59178380</v>
      </c>
      <c r="J109" s="9">
        <v>82309255</v>
      </c>
      <c r="K109" s="1" t="s">
        <v>16</v>
      </c>
      <c r="L109" s="1" t="str">
        <f>_xlfn.XLOOKUP(K109,Lookup!$G$4:$G$15,Lookup!$F$4:$F$15,"Unmapping",0,1)</f>
        <v>Sumatera Selatan</v>
      </c>
      <c r="M109" s="1" t="str">
        <f>VLOOKUP(H109,Lookup!$C$4:$D$9,2,0)</f>
        <v xml:space="preserve">Tab Valas </v>
      </c>
      <c r="N109" s="6" t="str">
        <f t="shared" si="2"/>
        <v>Privilage</v>
      </c>
      <c r="O109" s="6" t="str" cm="1">
        <f t="array" ref="O109">_xlfn.IFS(C109&lt;=25,"Grade C",C109&lt;=35,"Grade A",C109&lt;=55,"Grade B",C109&gt;55,"Grade D")</f>
        <v>Grade B</v>
      </c>
      <c r="P109" s="6" t="str">
        <f t="shared" si="3"/>
        <v>High</v>
      </c>
    </row>
    <row r="110" spans="1:16" x14ac:dyDescent="0.35">
      <c r="A110" s="1">
        <v>6762655</v>
      </c>
      <c r="B110" s="1" t="str">
        <f>TRIM('Raw Dataset'!B110)</f>
        <v>Zahra Sari</v>
      </c>
      <c r="C110" s="1">
        <v>18</v>
      </c>
      <c r="D110" s="1" t="s">
        <v>15</v>
      </c>
      <c r="E110" s="8">
        <v>44659</v>
      </c>
      <c r="F110" s="1">
        <v>381752</v>
      </c>
      <c r="G110" s="8">
        <v>44669</v>
      </c>
      <c r="H110" s="1">
        <v>712</v>
      </c>
      <c r="I110" s="9">
        <v>53098711</v>
      </c>
      <c r="J110" s="9">
        <v>68598271</v>
      </c>
      <c r="K110" s="1" t="s">
        <v>18</v>
      </c>
      <c r="L110" s="1" t="str">
        <f>_xlfn.XLOOKUP(K110,Lookup!$G$4:$G$15,Lookup!$F$4:$F$15,"Unmapping",0,1)</f>
        <v>Jawa Tengah</v>
      </c>
      <c r="M110" s="1" t="str">
        <f>VLOOKUP(H110,Lookup!$C$4:$D$9,2,0)</f>
        <v>Tab Syariah</v>
      </c>
      <c r="N110" s="6" t="str">
        <f t="shared" si="2"/>
        <v>Privilage</v>
      </c>
      <c r="O110" s="6" t="str" cm="1">
        <f t="array" ref="O110">_xlfn.IFS(C110&lt;=25,"Grade C",C110&lt;=35,"Grade A",C110&lt;=55,"Grade B",C110&gt;55,"Grade D")</f>
        <v>Grade C</v>
      </c>
      <c r="P110" s="6" t="str">
        <f t="shared" si="3"/>
        <v>High</v>
      </c>
    </row>
    <row r="111" spans="1:16" x14ac:dyDescent="0.35">
      <c r="A111" s="1">
        <v>7046122</v>
      </c>
      <c r="B111" s="1" t="str">
        <f>TRIM('Raw Dataset'!B111)</f>
        <v>Fitri Lestari</v>
      </c>
      <c r="C111" s="1">
        <v>44</v>
      </c>
      <c r="D111" s="1" t="s">
        <v>15</v>
      </c>
      <c r="E111" s="8">
        <v>43933</v>
      </c>
      <c r="F111" s="1">
        <v>404794</v>
      </c>
      <c r="G111" s="8">
        <v>43943</v>
      </c>
      <c r="H111" s="1">
        <v>621</v>
      </c>
      <c r="I111" s="9">
        <v>81536259</v>
      </c>
      <c r="J111" s="9">
        <v>71476429</v>
      </c>
      <c r="K111" s="1" t="s">
        <v>20</v>
      </c>
      <c r="L111" s="1" t="str">
        <f>_xlfn.XLOOKUP(K111,Lookup!$G$4:$G$15,Lookup!$F$4:$F$15,"Unmapping",0,1)</f>
        <v>Jawa Timur</v>
      </c>
      <c r="M111" s="1" t="str">
        <f>VLOOKUP(H111,Lookup!$C$4:$D$9,2,0)</f>
        <v>Tab Hajj</v>
      </c>
      <c r="N111" s="6" t="str">
        <f t="shared" si="2"/>
        <v>Privilage</v>
      </c>
      <c r="O111" s="6" t="str" cm="1">
        <f t="array" ref="O111">_xlfn.IFS(C111&lt;=25,"Grade C",C111&lt;=35,"Grade A",C111&lt;=55,"Grade B",C111&gt;55,"Grade D")</f>
        <v>Grade B</v>
      </c>
      <c r="P111" s="6" t="str">
        <f t="shared" si="3"/>
        <v>High</v>
      </c>
    </row>
    <row r="112" spans="1:16" x14ac:dyDescent="0.35">
      <c r="A112" s="1">
        <v>3796518</v>
      </c>
      <c r="B112" s="1" t="str">
        <f>TRIM('Raw Dataset'!B112)</f>
        <v>Johan Handoko</v>
      </c>
      <c r="C112" s="1">
        <v>58</v>
      </c>
      <c r="D112" s="1" t="s">
        <v>15</v>
      </c>
      <c r="E112" s="8">
        <v>45658</v>
      </c>
      <c r="F112" s="1">
        <v>851145</v>
      </c>
      <c r="G112" s="8">
        <v>45668</v>
      </c>
      <c r="H112" s="1">
        <v>620</v>
      </c>
      <c r="I112" s="9">
        <v>95550495</v>
      </c>
      <c r="J112" s="9">
        <v>55717197</v>
      </c>
      <c r="K112" s="1" t="s">
        <v>22</v>
      </c>
      <c r="L112" s="1" t="str">
        <f>_xlfn.XLOOKUP(K112,Lookup!$G$4:$G$15,Lookup!$F$4:$F$15,"Unmapping",0,1)</f>
        <v>Kalimantan</v>
      </c>
      <c r="M112" s="1" t="str">
        <f>VLOOKUP(H112,Lookup!$C$4:$D$9,2,0)</f>
        <v>Wadiah</v>
      </c>
      <c r="N112" s="6" t="str">
        <f t="shared" si="2"/>
        <v>Privilage</v>
      </c>
      <c r="O112" s="6" t="str" cm="1">
        <f t="array" ref="O112">_xlfn.IFS(C112&lt;=25,"Grade C",C112&lt;=35,"Grade A",C112&lt;=55,"Grade B",C112&gt;55,"Grade D")</f>
        <v>Grade D</v>
      </c>
      <c r="P112" s="6" t="str">
        <f t="shared" si="3"/>
        <v>High</v>
      </c>
    </row>
    <row r="113" spans="1:16" x14ac:dyDescent="0.35">
      <c r="A113" s="1">
        <v>6174669</v>
      </c>
      <c r="B113" s="1" t="str">
        <f>TRIM('Raw Dataset'!B113)</f>
        <v>Oki Setiawan</v>
      </c>
      <c r="C113" s="1">
        <v>24</v>
      </c>
      <c r="D113" s="1" t="s">
        <v>15</v>
      </c>
      <c r="E113" s="8">
        <v>44726</v>
      </c>
      <c r="F113" s="1">
        <v>399229</v>
      </c>
      <c r="G113" s="8">
        <v>44736</v>
      </c>
      <c r="H113" s="1">
        <v>521</v>
      </c>
      <c r="I113" s="9">
        <v>98558122</v>
      </c>
      <c r="J113" s="9">
        <v>97437223</v>
      </c>
      <c r="K113" s="1" t="s">
        <v>24</v>
      </c>
      <c r="L113" s="1" t="str">
        <f>_xlfn.XLOOKUP(K113,Lookup!$G$4:$G$15,Lookup!$F$4:$F$15,"Unmapping",0,1)</f>
        <v>Sumatera Utara</v>
      </c>
      <c r="M113" s="1" t="str">
        <f>VLOOKUP(H113,Lookup!$C$4:$D$9,2,0)</f>
        <v>Special Hajj</v>
      </c>
      <c r="N113" s="6" t="str">
        <f t="shared" si="2"/>
        <v>Privilage</v>
      </c>
      <c r="O113" s="6" t="str" cm="1">
        <f t="array" ref="O113">_xlfn.IFS(C113&lt;=25,"Grade C",C113&lt;=35,"Grade A",C113&lt;=55,"Grade B",C113&gt;55,"Grade D")</f>
        <v>Grade C</v>
      </c>
      <c r="P113" s="6" t="str">
        <f t="shared" si="3"/>
        <v>High</v>
      </c>
    </row>
    <row r="114" spans="1:16" x14ac:dyDescent="0.35">
      <c r="A114" s="1">
        <v>6102743</v>
      </c>
      <c r="B114" s="1" t="str">
        <f>TRIM('Raw Dataset'!B114)</f>
        <v>Zahra Wibowo</v>
      </c>
      <c r="C114" s="1">
        <v>38</v>
      </c>
      <c r="D114" s="1" t="s">
        <v>12</v>
      </c>
      <c r="E114" s="8">
        <v>45330</v>
      </c>
      <c r="F114" s="1">
        <v>471812</v>
      </c>
      <c r="G114" s="8">
        <v>45340</v>
      </c>
      <c r="H114" s="1">
        <v>808</v>
      </c>
      <c r="I114" s="9">
        <v>95853457</v>
      </c>
      <c r="J114" s="9">
        <v>59422957</v>
      </c>
      <c r="K114" s="1" t="s">
        <v>26</v>
      </c>
      <c r="L114" s="1" t="str">
        <f>_xlfn.XLOOKUP(K114,Lookup!$G$4:$G$15,Lookup!$F$4:$F$15,"Unmapping",0,1)</f>
        <v>DKI Jakarta</v>
      </c>
      <c r="M114" s="1" t="str">
        <f>VLOOKUP(H114,Lookup!$C$4:$D$9,2,0)</f>
        <v>Tab Umroh</v>
      </c>
      <c r="N114" s="6" t="str">
        <f t="shared" si="2"/>
        <v>Privilage</v>
      </c>
      <c r="O114" s="6" t="str" cm="1">
        <f t="array" ref="O114">_xlfn.IFS(C114&lt;=25,"Grade C",C114&lt;=35,"Grade A",C114&lt;=55,"Grade B",C114&gt;55,"Grade D")</f>
        <v>Grade B</v>
      </c>
      <c r="P114" s="6" t="str">
        <f t="shared" si="3"/>
        <v>High</v>
      </c>
    </row>
    <row r="115" spans="1:16" x14ac:dyDescent="0.35">
      <c r="A115" s="1">
        <v>1285551</v>
      </c>
      <c r="B115" s="1" t="str">
        <f>TRIM('Raw Dataset'!B115)</f>
        <v>Gilang Wibowo</v>
      </c>
      <c r="C115" s="1">
        <v>49</v>
      </c>
      <c r="D115" s="1" t="s">
        <v>15</v>
      </c>
      <c r="E115" s="8">
        <v>43998</v>
      </c>
      <c r="F115" s="1">
        <v>527640</v>
      </c>
      <c r="G115" s="8">
        <v>44008</v>
      </c>
      <c r="H115" s="1">
        <v>413</v>
      </c>
      <c r="I115" s="9">
        <v>50951439</v>
      </c>
      <c r="J115" s="9">
        <v>64389159</v>
      </c>
      <c r="K115" s="1" t="s">
        <v>28</v>
      </c>
      <c r="L115" s="1" t="str">
        <f>_xlfn.XLOOKUP(K115,Lookup!$G$4:$G$15,Lookup!$F$4:$F$15,"Unmapping",0,1)</f>
        <v>Papua</v>
      </c>
      <c r="M115" s="1" t="str">
        <f>VLOOKUP(H115,Lookup!$C$4:$D$9,2,0)</f>
        <v xml:space="preserve">Tab Valas </v>
      </c>
      <c r="N115" s="6" t="str">
        <f t="shared" si="2"/>
        <v>Privilage</v>
      </c>
      <c r="O115" s="6" t="str" cm="1">
        <f t="array" ref="O115">_xlfn.IFS(C115&lt;=25,"Grade C",C115&lt;=35,"Grade A",C115&lt;=55,"Grade B",C115&gt;55,"Grade D")</f>
        <v>Grade B</v>
      </c>
      <c r="P115" s="6" t="str">
        <f t="shared" si="3"/>
        <v>High</v>
      </c>
    </row>
    <row r="116" spans="1:16" x14ac:dyDescent="0.35">
      <c r="A116" s="1">
        <v>3891330</v>
      </c>
      <c r="B116" s="1" t="str">
        <f>TRIM('Raw Dataset'!B116)</f>
        <v>Yudi Hidayat</v>
      </c>
      <c r="C116" s="1">
        <v>41</v>
      </c>
      <c r="D116" s="1" t="s">
        <v>12</v>
      </c>
      <c r="E116" s="8">
        <v>44279</v>
      </c>
      <c r="F116" s="1">
        <v>662376</v>
      </c>
      <c r="G116" s="8">
        <v>44289</v>
      </c>
      <c r="H116" s="1">
        <v>712</v>
      </c>
      <c r="I116" s="9">
        <v>82154934</v>
      </c>
      <c r="J116" s="9">
        <v>80921959</v>
      </c>
      <c r="K116" s="1" t="s">
        <v>30</v>
      </c>
      <c r="L116" s="1" t="str">
        <f>_xlfn.XLOOKUP(K116,Lookup!$G$4:$G$15,Lookup!$F$4:$F$15,"Unmapping",0,1)</f>
        <v>Bali</v>
      </c>
      <c r="M116" s="1" t="str">
        <f>VLOOKUP(H116,Lookup!$C$4:$D$9,2,0)</f>
        <v>Tab Syariah</v>
      </c>
      <c r="N116" s="6" t="str">
        <f t="shared" si="2"/>
        <v>Privilage</v>
      </c>
      <c r="O116" s="6" t="str" cm="1">
        <f t="array" ref="O116">_xlfn.IFS(C116&lt;=25,"Grade C",C116&lt;=35,"Grade A",C116&lt;=55,"Grade B",C116&gt;55,"Grade D")</f>
        <v>Grade B</v>
      </c>
      <c r="P116" s="6" t="str">
        <f t="shared" si="3"/>
        <v>High</v>
      </c>
    </row>
    <row r="117" spans="1:16" x14ac:dyDescent="0.35">
      <c r="A117" s="1">
        <v>2488189</v>
      </c>
      <c r="B117" s="1" t="str">
        <f>TRIM('Raw Dataset'!B117)</f>
        <v>Putri Wijaya</v>
      </c>
      <c r="C117" s="1">
        <v>40</v>
      </c>
      <c r="D117" s="1" t="s">
        <v>12</v>
      </c>
      <c r="E117" s="8">
        <v>44635</v>
      </c>
      <c r="F117" s="1">
        <v>393515</v>
      </c>
      <c r="G117" s="8">
        <v>44645</v>
      </c>
      <c r="H117" s="1">
        <v>620</v>
      </c>
      <c r="I117" s="9">
        <v>89217015</v>
      </c>
      <c r="J117" s="9">
        <v>93375815</v>
      </c>
      <c r="K117" s="1" t="s">
        <v>32</v>
      </c>
      <c r="L117" s="1" t="str">
        <f>_xlfn.XLOOKUP(K117,Lookup!$G$4:$G$15,Lookup!$F$4:$F$15,"Unmapping",0,1)</f>
        <v>Maluku</v>
      </c>
      <c r="M117" s="1" t="str">
        <f>VLOOKUP(H117,Lookup!$C$4:$D$9,2,0)</f>
        <v>Wadiah</v>
      </c>
      <c r="N117" s="6" t="str">
        <f t="shared" si="2"/>
        <v>Privilage</v>
      </c>
      <c r="O117" s="6" t="str" cm="1">
        <f t="array" ref="O117">_xlfn.IFS(C117&lt;=25,"Grade C",C117&lt;=35,"Grade A",C117&lt;=55,"Grade B",C117&gt;55,"Grade D")</f>
        <v>Grade B</v>
      </c>
      <c r="P117" s="6" t="str">
        <f t="shared" si="3"/>
        <v>High</v>
      </c>
    </row>
    <row r="118" spans="1:16" x14ac:dyDescent="0.35">
      <c r="A118" s="1">
        <v>1611608</v>
      </c>
      <c r="B118" s="1" t="str">
        <f>TRIM('Raw Dataset'!B118)</f>
        <v>Maya Putra</v>
      </c>
      <c r="C118" s="1">
        <v>16</v>
      </c>
      <c r="D118" s="1" t="s">
        <v>15</v>
      </c>
      <c r="E118" s="8">
        <v>45855</v>
      </c>
      <c r="F118" s="1">
        <v>500089</v>
      </c>
      <c r="G118" s="8">
        <v>45865</v>
      </c>
      <c r="H118" s="1">
        <v>620</v>
      </c>
      <c r="I118" s="9">
        <v>53104546</v>
      </c>
      <c r="J118" s="9">
        <v>78072818</v>
      </c>
      <c r="K118" s="1" t="s">
        <v>34</v>
      </c>
      <c r="L118" s="1" t="str">
        <f>_xlfn.XLOOKUP(K118,Lookup!$G$4:$G$15,Lookup!$F$4:$F$15,"Unmapping",0,1)</f>
        <v>Sulawesi Utara</v>
      </c>
      <c r="M118" s="1" t="str">
        <f>VLOOKUP(H118,Lookup!$C$4:$D$9,2,0)</f>
        <v>Wadiah</v>
      </c>
      <c r="N118" s="6" t="str">
        <f t="shared" si="2"/>
        <v>Privilage</v>
      </c>
      <c r="O118" s="6" t="str" cm="1">
        <f t="array" ref="O118">_xlfn.IFS(C118&lt;=25,"Grade C",C118&lt;=35,"Grade A",C118&lt;=55,"Grade B",C118&gt;55,"Grade D")</f>
        <v>Grade C</v>
      </c>
      <c r="P118" s="6" t="str">
        <f t="shared" si="3"/>
        <v>High</v>
      </c>
    </row>
    <row r="119" spans="1:16" x14ac:dyDescent="0.35">
      <c r="A119" s="1">
        <v>3799751</v>
      </c>
      <c r="B119" s="1" t="str">
        <f>TRIM('Raw Dataset'!B119)</f>
        <v>Joko Lestari</v>
      </c>
      <c r="C119" s="1">
        <v>49</v>
      </c>
      <c r="D119" s="1" t="s">
        <v>15</v>
      </c>
      <c r="E119" s="8">
        <v>43969</v>
      </c>
      <c r="F119" s="1">
        <v>498185</v>
      </c>
      <c r="G119" s="8">
        <v>43979</v>
      </c>
      <c r="H119" s="1">
        <v>620</v>
      </c>
      <c r="I119" s="9">
        <v>56936745</v>
      </c>
      <c r="J119" s="9">
        <v>61156110</v>
      </c>
      <c r="K119" s="1" t="s">
        <v>36</v>
      </c>
      <c r="L119" s="1" t="str">
        <f>_xlfn.XLOOKUP(K119,Lookup!$G$4:$G$15,Lookup!$F$4:$F$15,"Unmapping",0,1)</f>
        <v>Sulawesi Tenggara</v>
      </c>
      <c r="M119" s="1" t="str">
        <f>VLOOKUP(H119,Lookup!$C$4:$D$9,2,0)</f>
        <v>Wadiah</v>
      </c>
      <c r="N119" s="6" t="str">
        <f t="shared" si="2"/>
        <v>Privilage</v>
      </c>
      <c r="O119" s="6" t="str" cm="1">
        <f t="array" ref="O119">_xlfn.IFS(C119&lt;=25,"Grade C",C119&lt;=35,"Grade A",C119&lt;=55,"Grade B",C119&gt;55,"Grade D")</f>
        <v>Grade B</v>
      </c>
      <c r="P119" s="6" t="str">
        <f t="shared" si="3"/>
        <v>High</v>
      </c>
    </row>
    <row r="120" spans="1:16" x14ac:dyDescent="0.35">
      <c r="A120" s="1">
        <v>3246664</v>
      </c>
      <c r="B120" s="1" t="str">
        <f>TRIM('Raw Dataset'!B120)</f>
        <v>Yudi Kurniawan</v>
      </c>
      <c r="C120" s="1">
        <v>49</v>
      </c>
      <c r="D120" s="1" t="s">
        <v>12</v>
      </c>
      <c r="E120" s="8">
        <v>44482</v>
      </c>
      <c r="F120" s="1">
        <v>800651</v>
      </c>
      <c r="G120" s="8">
        <v>44492</v>
      </c>
      <c r="H120" s="1">
        <v>620</v>
      </c>
      <c r="I120" s="9">
        <v>63392176</v>
      </c>
      <c r="J120" s="9">
        <v>86264970</v>
      </c>
      <c r="K120" s="1" t="s">
        <v>18</v>
      </c>
      <c r="L120" s="1" t="str">
        <f>_xlfn.XLOOKUP(K120,Lookup!$G$4:$G$15,Lookup!$F$4:$F$15,"Unmapping",0,1)</f>
        <v>Jawa Tengah</v>
      </c>
      <c r="M120" s="1" t="str">
        <f>VLOOKUP(H120,Lookup!$C$4:$D$9,2,0)</f>
        <v>Wadiah</v>
      </c>
      <c r="N120" s="6" t="str">
        <f t="shared" si="2"/>
        <v>Privilage</v>
      </c>
      <c r="O120" s="6" t="str" cm="1">
        <f t="array" ref="O120">_xlfn.IFS(C120&lt;=25,"Grade C",C120&lt;=35,"Grade A",C120&lt;=55,"Grade B",C120&gt;55,"Grade D")</f>
        <v>Grade B</v>
      </c>
      <c r="P120" s="6" t="str">
        <f t="shared" si="3"/>
        <v>High</v>
      </c>
    </row>
    <row r="121" spans="1:16" x14ac:dyDescent="0.35">
      <c r="A121" s="1">
        <v>5819531</v>
      </c>
      <c r="B121" s="1" t="str">
        <f>TRIM('Raw Dataset'!B121)</f>
        <v>Johan Putra</v>
      </c>
      <c r="C121" s="1">
        <v>17</v>
      </c>
      <c r="D121" s="1" t="s">
        <v>15</v>
      </c>
      <c r="E121" s="8">
        <v>45456</v>
      </c>
      <c r="F121" s="1">
        <v>539454</v>
      </c>
      <c r="G121" s="8">
        <v>45466</v>
      </c>
      <c r="H121" s="1">
        <v>620</v>
      </c>
      <c r="I121" s="9">
        <v>98556919</v>
      </c>
      <c r="J121" s="9">
        <v>82408944</v>
      </c>
      <c r="K121" s="1" t="s">
        <v>20</v>
      </c>
      <c r="L121" s="1" t="str">
        <f>_xlfn.XLOOKUP(K121,Lookup!$G$4:$G$15,Lookup!$F$4:$F$15,"Unmapping",0,1)</f>
        <v>Jawa Timur</v>
      </c>
      <c r="M121" s="1" t="str">
        <f>VLOOKUP(H121,Lookup!$C$4:$D$9,2,0)</f>
        <v>Wadiah</v>
      </c>
      <c r="N121" s="6" t="str">
        <f t="shared" si="2"/>
        <v>Privilage</v>
      </c>
      <c r="O121" s="6" t="str" cm="1">
        <f t="array" ref="O121">_xlfn.IFS(C121&lt;=25,"Grade C",C121&lt;=35,"Grade A",C121&lt;=55,"Grade B",C121&gt;55,"Grade D")</f>
        <v>Grade C</v>
      </c>
      <c r="P121" s="6" t="str">
        <f t="shared" si="3"/>
        <v>High</v>
      </c>
    </row>
    <row r="122" spans="1:16" x14ac:dyDescent="0.35">
      <c r="A122" s="1">
        <v>2287021</v>
      </c>
      <c r="B122" s="1" t="str">
        <f>TRIM('Raw Dataset'!B122)</f>
        <v>Budi Kusuma</v>
      </c>
      <c r="C122" s="1">
        <v>35</v>
      </c>
      <c r="D122" s="1" t="s">
        <v>12</v>
      </c>
      <c r="E122" s="8">
        <v>44337</v>
      </c>
      <c r="F122" s="1">
        <v>445036</v>
      </c>
      <c r="G122" s="8">
        <v>44347</v>
      </c>
      <c r="H122" s="1">
        <v>621</v>
      </c>
      <c r="I122" s="9">
        <v>2348116</v>
      </c>
      <c r="J122" s="9">
        <v>8955367</v>
      </c>
      <c r="K122" s="1" t="s">
        <v>13</v>
      </c>
      <c r="L122" s="1" t="str">
        <f>_xlfn.XLOOKUP(K122,Lookup!$G$4:$G$15,Lookup!$F$4:$F$15,"Unmapping",0,1)</f>
        <v>Jawa Barat</v>
      </c>
      <c r="M122" s="1" t="str">
        <f>VLOOKUP(H122,Lookup!$C$4:$D$9,2,0)</f>
        <v>Tab Hajj</v>
      </c>
      <c r="N122" s="6" t="str">
        <f t="shared" si="2"/>
        <v>Mass Market</v>
      </c>
      <c r="O122" s="6" t="str" cm="1">
        <f t="array" ref="O122">_xlfn.IFS(C122&lt;=25,"Grade C",C122&lt;=35,"Grade A",C122&lt;=55,"Grade B",C122&gt;55,"Grade D")</f>
        <v>Grade A</v>
      </c>
      <c r="P122" s="6" t="str">
        <f t="shared" si="3"/>
        <v>Low</v>
      </c>
    </row>
    <row r="123" spans="1:16" x14ac:dyDescent="0.35">
      <c r="A123" s="1">
        <v>3684345</v>
      </c>
      <c r="B123" s="1" t="str">
        <f>TRIM('Raw Dataset'!B123)</f>
        <v>Wulan Wibowo</v>
      </c>
      <c r="C123" s="1">
        <v>29</v>
      </c>
      <c r="D123" s="1" t="s">
        <v>15</v>
      </c>
      <c r="E123" s="8">
        <v>45782</v>
      </c>
      <c r="F123" s="1">
        <v>690376</v>
      </c>
      <c r="G123" s="8">
        <v>45792</v>
      </c>
      <c r="H123" s="1">
        <v>620</v>
      </c>
      <c r="I123" s="9">
        <v>4632122</v>
      </c>
      <c r="J123" s="9">
        <v>6250736</v>
      </c>
      <c r="K123" s="1" t="s">
        <v>16</v>
      </c>
      <c r="L123" s="1" t="str">
        <f>_xlfn.XLOOKUP(K123,Lookup!$G$4:$G$15,Lookup!$F$4:$F$15,"Unmapping",0,1)</f>
        <v>Sumatera Selatan</v>
      </c>
      <c r="M123" s="1" t="str">
        <f>VLOOKUP(H123,Lookup!$C$4:$D$9,2,0)</f>
        <v>Wadiah</v>
      </c>
      <c r="N123" s="6" t="str">
        <f t="shared" si="2"/>
        <v>Mass Market</v>
      </c>
      <c r="O123" s="6" t="str" cm="1">
        <f t="array" ref="O123">_xlfn.IFS(C123&lt;=25,"Grade C",C123&lt;=35,"Grade A",C123&lt;=55,"Grade B",C123&gt;55,"Grade D")</f>
        <v>Grade A</v>
      </c>
      <c r="P123" s="6" t="str">
        <f t="shared" si="3"/>
        <v>Low</v>
      </c>
    </row>
    <row r="124" spans="1:16" x14ac:dyDescent="0.35">
      <c r="A124" s="1">
        <v>6507231</v>
      </c>
      <c r="B124" s="1" t="str">
        <f>TRIM('Raw Dataset'!B124)</f>
        <v>Yudi Santoso</v>
      </c>
      <c r="C124" s="1">
        <v>37</v>
      </c>
      <c r="D124" s="1" t="s">
        <v>12</v>
      </c>
      <c r="E124" s="8">
        <v>44761</v>
      </c>
      <c r="F124" s="1">
        <v>726795</v>
      </c>
      <c r="G124" s="8">
        <v>44771</v>
      </c>
      <c r="H124" s="1">
        <v>521</v>
      </c>
      <c r="I124" s="9">
        <v>4676007</v>
      </c>
      <c r="J124" s="9">
        <v>6844373</v>
      </c>
      <c r="K124" s="1" t="s">
        <v>18</v>
      </c>
      <c r="L124" s="1" t="str">
        <f>_xlfn.XLOOKUP(K124,Lookup!$G$4:$G$15,Lookup!$F$4:$F$15,"Unmapping",0,1)</f>
        <v>Jawa Tengah</v>
      </c>
      <c r="M124" s="1" t="str">
        <f>VLOOKUP(H124,Lookup!$C$4:$D$9,2,0)</f>
        <v>Special Hajj</v>
      </c>
      <c r="N124" s="6" t="str">
        <f t="shared" si="2"/>
        <v>Mass Market</v>
      </c>
      <c r="O124" s="6" t="str" cm="1">
        <f t="array" ref="O124">_xlfn.IFS(C124&lt;=25,"Grade C",C124&lt;=35,"Grade A",C124&lt;=55,"Grade B",C124&gt;55,"Grade D")</f>
        <v>Grade B</v>
      </c>
      <c r="P124" s="6" t="str">
        <f t="shared" si="3"/>
        <v>Low</v>
      </c>
    </row>
    <row r="125" spans="1:16" x14ac:dyDescent="0.35">
      <c r="A125" s="1">
        <v>2306909</v>
      </c>
      <c r="B125" s="1" t="str">
        <f>TRIM('Raw Dataset'!B125)</f>
        <v>Hendra Permana</v>
      </c>
      <c r="C125" s="1">
        <v>25</v>
      </c>
      <c r="D125" s="1" t="s">
        <v>12</v>
      </c>
      <c r="E125" s="8">
        <v>45643</v>
      </c>
      <c r="F125" s="1">
        <v>471359</v>
      </c>
      <c r="G125" s="8">
        <v>45653</v>
      </c>
      <c r="H125" s="1">
        <v>808</v>
      </c>
      <c r="I125" s="9">
        <v>5717876</v>
      </c>
      <c r="J125" s="9">
        <v>8325624</v>
      </c>
      <c r="K125" s="1" t="s">
        <v>20</v>
      </c>
      <c r="L125" s="1" t="str">
        <f>_xlfn.XLOOKUP(K125,Lookup!$G$4:$G$15,Lookup!$F$4:$F$15,"Unmapping",0,1)</f>
        <v>Jawa Timur</v>
      </c>
      <c r="M125" s="1" t="str">
        <f>VLOOKUP(H125,Lookup!$C$4:$D$9,2,0)</f>
        <v>Tab Umroh</v>
      </c>
      <c r="N125" s="6" t="str">
        <f t="shared" si="2"/>
        <v>Mass Market</v>
      </c>
      <c r="O125" s="6" t="str" cm="1">
        <f t="array" ref="O125">_xlfn.IFS(C125&lt;=25,"Grade C",C125&lt;=35,"Grade A",C125&lt;=55,"Grade B",C125&gt;55,"Grade D")</f>
        <v>Grade C</v>
      </c>
      <c r="P125" s="6" t="str">
        <f t="shared" si="3"/>
        <v>Low</v>
      </c>
    </row>
    <row r="126" spans="1:16" x14ac:dyDescent="0.35">
      <c r="A126" s="1">
        <v>6713678</v>
      </c>
      <c r="B126" s="1" t="str">
        <f>TRIM('Raw Dataset'!B126)</f>
        <v>Rina Rahayu</v>
      </c>
      <c r="C126" s="1">
        <v>29</v>
      </c>
      <c r="D126" s="1" t="s">
        <v>12</v>
      </c>
      <c r="E126" s="8">
        <v>44631</v>
      </c>
      <c r="F126" s="1">
        <v>222391</v>
      </c>
      <c r="G126" s="8">
        <v>44641</v>
      </c>
      <c r="H126" s="1">
        <v>413</v>
      </c>
      <c r="I126" s="9">
        <v>2158895</v>
      </c>
      <c r="J126" s="9">
        <v>8347943</v>
      </c>
      <c r="K126" s="1" t="s">
        <v>22</v>
      </c>
      <c r="L126" s="1" t="str">
        <f>_xlfn.XLOOKUP(K126,Lookup!$G$4:$G$15,Lookup!$F$4:$F$15,"Unmapping",0,1)</f>
        <v>Kalimantan</v>
      </c>
      <c r="M126" s="1" t="str">
        <f>VLOOKUP(H126,Lookup!$C$4:$D$9,2,0)</f>
        <v xml:space="preserve">Tab Valas </v>
      </c>
      <c r="N126" s="6" t="str">
        <f t="shared" si="2"/>
        <v>Mass Market</v>
      </c>
      <c r="O126" s="6" t="str" cm="1">
        <f t="array" ref="O126">_xlfn.IFS(C126&lt;=25,"Grade C",C126&lt;=35,"Grade A",C126&lt;=55,"Grade B",C126&gt;55,"Grade D")</f>
        <v>Grade A</v>
      </c>
      <c r="P126" s="6" t="str">
        <f t="shared" si="3"/>
        <v>Low</v>
      </c>
    </row>
    <row r="127" spans="1:16" x14ac:dyDescent="0.35">
      <c r="A127" s="1">
        <v>3477250</v>
      </c>
      <c r="B127" s="1" t="str">
        <f>TRIM('Raw Dataset'!B127)</f>
        <v>Lina Wibowo</v>
      </c>
      <c r="C127" s="1">
        <v>45</v>
      </c>
      <c r="D127" s="1" t="s">
        <v>12</v>
      </c>
      <c r="E127" s="8">
        <v>44992</v>
      </c>
      <c r="F127" s="1">
        <v>784959</v>
      </c>
      <c r="G127" s="8">
        <v>45002</v>
      </c>
      <c r="H127" s="1">
        <v>712</v>
      </c>
      <c r="I127" s="9">
        <v>2203171</v>
      </c>
      <c r="J127" s="9">
        <v>5618396</v>
      </c>
      <c r="K127" s="1" t="s">
        <v>24</v>
      </c>
      <c r="L127" s="1" t="str">
        <f>_xlfn.XLOOKUP(K127,Lookup!$G$4:$G$15,Lookup!$F$4:$F$15,"Unmapping",0,1)</f>
        <v>Sumatera Utara</v>
      </c>
      <c r="M127" s="1" t="str">
        <f>VLOOKUP(H127,Lookup!$C$4:$D$9,2,0)</f>
        <v>Tab Syariah</v>
      </c>
      <c r="N127" s="6" t="str">
        <f t="shared" si="2"/>
        <v>Mass Market</v>
      </c>
      <c r="O127" s="6" t="str" cm="1">
        <f t="array" ref="O127">_xlfn.IFS(C127&lt;=25,"Grade C",C127&lt;=35,"Grade A",C127&lt;=55,"Grade B",C127&gt;55,"Grade D")</f>
        <v>Grade B</v>
      </c>
      <c r="P127" s="6" t="str">
        <f t="shared" si="3"/>
        <v>Low</v>
      </c>
    </row>
    <row r="128" spans="1:16" x14ac:dyDescent="0.35">
      <c r="A128" s="1">
        <v>2446706</v>
      </c>
      <c r="B128" s="1" t="str">
        <f>TRIM('Raw Dataset'!B128)</f>
        <v>Joko Sari</v>
      </c>
      <c r="C128" s="1">
        <v>55</v>
      </c>
      <c r="D128" s="1" t="s">
        <v>12</v>
      </c>
      <c r="E128" s="8">
        <v>44196</v>
      </c>
      <c r="F128" s="1">
        <v>670347</v>
      </c>
      <c r="G128" s="8">
        <v>44206</v>
      </c>
      <c r="H128" s="1">
        <v>621</v>
      </c>
      <c r="I128" s="9">
        <v>3722178</v>
      </c>
      <c r="J128" s="9">
        <v>6563564</v>
      </c>
      <c r="K128" s="1" t="s">
        <v>26</v>
      </c>
      <c r="L128" s="1" t="str">
        <f>_xlfn.XLOOKUP(K128,Lookup!$G$4:$G$15,Lookup!$F$4:$F$15,"Unmapping",0,1)</f>
        <v>DKI Jakarta</v>
      </c>
      <c r="M128" s="1" t="str">
        <f>VLOOKUP(H128,Lookup!$C$4:$D$9,2,0)</f>
        <v>Tab Hajj</v>
      </c>
      <c r="N128" s="6" t="str">
        <f t="shared" si="2"/>
        <v>Mass Market</v>
      </c>
      <c r="O128" s="6" t="str" cm="1">
        <f t="array" ref="O128">_xlfn.IFS(C128&lt;=25,"Grade C",C128&lt;=35,"Grade A",C128&lt;=55,"Grade B",C128&gt;55,"Grade D")</f>
        <v>Grade B</v>
      </c>
      <c r="P128" s="6" t="str">
        <f t="shared" si="3"/>
        <v>Low</v>
      </c>
    </row>
    <row r="129" spans="1:16" x14ac:dyDescent="0.35">
      <c r="A129" s="1">
        <v>8882904</v>
      </c>
      <c r="B129" s="1" t="str">
        <f>TRIM('Raw Dataset'!B129)</f>
        <v>Hadi Saputri</v>
      </c>
      <c r="C129" s="1">
        <v>20</v>
      </c>
      <c r="D129" s="1" t="s">
        <v>12</v>
      </c>
      <c r="E129" s="8">
        <v>44554</v>
      </c>
      <c r="F129" s="1">
        <v>992697</v>
      </c>
      <c r="G129" s="8">
        <v>44564</v>
      </c>
      <c r="H129" s="1">
        <v>620</v>
      </c>
      <c r="I129" s="9">
        <v>2173515</v>
      </c>
      <c r="J129" s="9">
        <v>5182322</v>
      </c>
      <c r="K129" s="1" t="s">
        <v>28</v>
      </c>
      <c r="L129" s="1" t="str">
        <f>_xlfn.XLOOKUP(K129,Lookup!$G$4:$G$15,Lookup!$F$4:$F$15,"Unmapping",0,1)</f>
        <v>Papua</v>
      </c>
      <c r="M129" s="1" t="str">
        <f>VLOOKUP(H129,Lookup!$C$4:$D$9,2,0)</f>
        <v>Wadiah</v>
      </c>
      <c r="N129" s="6" t="str">
        <f t="shared" si="2"/>
        <v>Mass Market</v>
      </c>
      <c r="O129" s="6" t="str" cm="1">
        <f t="array" ref="O129">_xlfn.IFS(C129&lt;=25,"Grade C",C129&lt;=35,"Grade A",C129&lt;=55,"Grade B",C129&gt;55,"Grade D")</f>
        <v>Grade C</v>
      </c>
      <c r="P129" s="6" t="str">
        <f t="shared" si="3"/>
        <v>Low</v>
      </c>
    </row>
    <row r="130" spans="1:16" x14ac:dyDescent="0.35">
      <c r="A130" s="1">
        <v>2985075</v>
      </c>
      <c r="B130" s="1" t="str">
        <f>TRIM('Raw Dataset'!B130)</f>
        <v>Kartika Kurniawan</v>
      </c>
      <c r="C130" s="1">
        <v>64</v>
      </c>
      <c r="D130" s="1" t="s">
        <v>12</v>
      </c>
      <c r="E130" s="8">
        <v>45077</v>
      </c>
      <c r="F130" s="1">
        <v>855807</v>
      </c>
      <c r="G130" s="8">
        <v>45087</v>
      </c>
      <c r="H130" s="1">
        <v>521</v>
      </c>
      <c r="I130" s="9">
        <v>5867720</v>
      </c>
      <c r="J130" s="9">
        <v>7688655</v>
      </c>
      <c r="K130" s="1" t="s">
        <v>30</v>
      </c>
      <c r="L130" s="1" t="str">
        <f>_xlfn.XLOOKUP(K130,Lookup!$G$4:$G$15,Lookup!$F$4:$F$15,"Unmapping",0,1)</f>
        <v>Bali</v>
      </c>
      <c r="M130" s="1" t="str">
        <f>VLOOKUP(H130,Lookup!$C$4:$D$9,2,0)</f>
        <v>Special Hajj</v>
      </c>
      <c r="N130" s="6" t="str">
        <f t="shared" si="2"/>
        <v>Mass Market</v>
      </c>
      <c r="O130" s="6" t="str" cm="1">
        <f t="array" ref="O130">_xlfn.IFS(C130&lt;=25,"Grade C",C130&lt;=35,"Grade A",C130&lt;=55,"Grade B",C130&gt;55,"Grade D")</f>
        <v>Grade D</v>
      </c>
      <c r="P130" s="6" t="str">
        <f t="shared" si="3"/>
        <v>Low</v>
      </c>
    </row>
    <row r="131" spans="1:16" x14ac:dyDescent="0.35">
      <c r="A131" s="1">
        <v>3365113</v>
      </c>
      <c r="B131" s="1" t="str">
        <f>TRIM('Raw Dataset'!B131)</f>
        <v>Indah Ramadhan</v>
      </c>
      <c r="C131" s="1">
        <v>31</v>
      </c>
      <c r="D131" s="1" t="s">
        <v>12</v>
      </c>
      <c r="E131" s="8">
        <v>43874</v>
      </c>
      <c r="F131" s="1">
        <v>782420</v>
      </c>
      <c r="G131" s="8">
        <v>43884</v>
      </c>
      <c r="H131" s="1">
        <v>808</v>
      </c>
      <c r="I131" s="9">
        <v>7629989</v>
      </c>
      <c r="J131" s="9">
        <v>6784112</v>
      </c>
      <c r="K131" s="1" t="s">
        <v>32</v>
      </c>
      <c r="L131" s="1" t="str">
        <f>_xlfn.XLOOKUP(K131,Lookup!$G$4:$G$15,Lookup!$F$4:$F$15,"Unmapping",0,1)</f>
        <v>Maluku</v>
      </c>
      <c r="M131" s="1" t="str">
        <f>VLOOKUP(H131,Lookup!$C$4:$D$9,2,0)</f>
        <v>Tab Umroh</v>
      </c>
      <c r="N131" s="6" t="str">
        <f t="shared" ref="N131:N135" si="4">IF(I131&lt;10000000,"Mass Market",IF(I131&lt;=50000000,"Optimal","Privilage"))</f>
        <v>Mass Market</v>
      </c>
      <c r="O131" s="6" t="str" cm="1">
        <f t="array" ref="O131">_xlfn.IFS(C131&lt;=25,"Grade C",C131&lt;=35,"Grade A",C131&lt;=55,"Grade B",C131&gt;55,"Grade D")</f>
        <v>Grade A</v>
      </c>
      <c r="P131" s="6" t="str">
        <f t="shared" ref="P131:P135" si="5">INDEX($T$13:$W$15,MATCH(N131,$S$13:$S$15,0),MATCH(O131,$T$12:$W$12,0))</f>
        <v>Low</v>
      </c>
    </row>
    <row r="132" spans="1:16" x14ac:dyDescent="0.35">
      <c r="A132" s="1">
        <v>8369052</v>
      </c>
      <c r="B132" s="1" t="str">
        <f>TRIM('Raw Dataset'!B132)</f>
        <v>Dewi Nugroho</v>
      </c>
      <c r="C132" s="1">
        <v>28</v>
      </c>
      <c r="D132" s="1" t="s">
        <v>15</v>
      </c>
      <c r="E132" s="8">
        <v>44883</v>
      </c>
      <c r="F132" s="1">
        <v>800474</v>
      </c>
      <c r="G132" s="8">
        <v>44893</v>
      </c>
      <c r="H132" s="1">
        <v>413</v>
      </c>
      <c r="I132" s="9">
        <v>18287346</v>
      </c>
      <c r="J132" s="9">
        <v>20678701</v>
      </c>
      <c r="K132" s="1" t="s">
        <v>34</v>
      </c>
      <c r="L132" s="1" t="str">
        <f>_xlfn.XLOOKUP(K132,Lookup!$G$4:$G$15,Lookup!$F$4:$F$15,"Unmapping",0,1)</f>
        <v>Sulawesi Utara</v>
      </c>
      <c r="M132" s="1" t="str">
        <f>VLOOKUP(H132,Lookup!$C$4:$D$9,2,0)</f>
        <v xml:space="preserve">Tab Valas </v>
      </c>
      <c r="N132" s="6" t="str">
        <f t="shared" si="4"/>
        <v>Optimal</v>
      </c>
      <c r="O132" s="6" t="str" cm="1">
        <f t="array" ref="O132">_xlfn.IFS(C132&lt;=25,"Grade C",C132&lt;=35,"Grade A",C132&lt;=55,"Grade B",C132&gt;55,"Grade D")</f>
        <v>Grade A</v>
      </c>
      <c r="P132" s="6" t="str">
        <f t="shared" si="5"/>
        <v>High</v>
      </c>
    </row>
    <row r="133" spans="1:16" x14ac:dyDescent="0.35">
      <c r="A133" s="1">
        <v>2918715</v>
      </c>
      <c r="B133" s="1" t="str">
        <f>TRIM('Raw Dataset'!B133)</f>
        <v>Joko Putra</v>
      </c>
      <c r="C133" s="1">
        <v>47</v>
      </c>
      <c r="D133" s="1" t="s">
        <v>15</v>
      </c>
      <c r="E133" s="8">
        <v>45068</v>
      </c>
      <c r="F133" s="1">
        <v>607697</v>
      </c>
      <c r="G133" s="8">
        <v>45078</v>
      </c>
      <c r="H133" s="1">
        <v>712</v>
      </c>
      <c r="I133" s="9">
        <v>6355438</v>
      </c>
      <c r="J133" s="9">
        <v>11137340</v>
      </c>
      <c r="K133" s="1" t="s">
        <v>36</v>
      </c>
      <c r="L133" s="1" t="str">
        <f>_xlfn.XLOOKUP(K133,Lookup!$G$4:$G$15,Lookup!$F$4:$F$15,"Unmapping",0,1)</f>
        <v>Sulawesi Tenggara</v>
      </c>
      <c r="M133" s="1" t="str">
        <f>VLOOKUP(H133,Lookup!$C$4:$D$9,2,0)</f>
        <v>Tab Syariah</v>
      </c>
      <c r="N133" s="6" t="str">
        <f t="shared" si="4"/>
        <v>Mass Market</v>
      </c>
      <c r="O133" s="6" t="str" cm="1">
        <f t="array" ref="O133">_xlfn.IFS(C133&lt;=25,"Grade C",C133&lt;=35,"Grade A",C133&lt;=55,"Grade B",C133&gt;55,"Grade D")</f>
        <v>Grade B</v>
      </c>
      <c r="P133" s="6" t="str">
        <f t="shared" si="5"/>
        <v>Low</v>
      </c>
    </row>
    <row r="134" spans="1:16" x14ac:dyDescent="0.35">
      <c r="A134" s="1">
        <v>4849083</v>
      </c>
      <c r="B134" s="1" t="str">
        <f>TRIM('Raw Dataset'!B134)</f>
        <v>Eka Wijaya</v>
      </c>
      <c r="C134" s="1">
        <v>16</v>
      </c>
      <c r="D134" s="1" t="s">
        <v>12</v>
      </c>
      <c r="E134" s="8">
        <v>44436</v>
      </c>
      <c r="F134" s="1">
        <v>695274</v>
      </c>
      <c r="G134" s="8">
        <v>44446</v>
      </c>
      <c r="H134" s="1">
        <v>621</v>
      </c>
      <c r="I134" s="9">
        <v>9144128</v>
      </c>
      <c r="J134" s="9">
        <v>23156763</v>
      </c>
      <c r="K134" s="1" t="s">
        <v>18</v>
      </c>
      <c r="L134" s="1" t="str">
        <f>_xlfn.XLOOKUP(K134,Lookup!$G$4:$G$15,Lookup!$F$4:$F$15,"Unmapping",0,1)</f>
        <v>Jawa Tengah</v>
      </c>
      <c r="M134" s="1" t="str">
        <f>VLOOKUP(H134,Lookup!$C$4:$D$9,2,0)</f>
        <v>Tab Hajj</v>
      </c>
      <c r="N134" s="6" t="str">
        <f t="shared" si="4"/>
        <v>Mass Market</v>
      </c>
      <c r="O134" s="6" t="str" cm="1">
        <f t="array" ref="O134">_xlfn.IFS(C134&lt;=25,"Grade C",C134&lt;=35,"Grade A",C134&lt;=55,"Grade B",C134&gt;55,"Grade D")</f>
        <v>Grade C</v>
      </c>
      <c r="P134" s="6" t="str">
        <f t="shared" si="5"/>
        <v>Low</v>
      </c>
    </row>
    <row r="135" spans="1:16" x14ac:dyDescent="0.35">
      <c r="A135" s="1">
        <v>5113873</v>
      </c>
      <c r="B135" s="1" t="str">
        <f>TRIM('Raw Dataset'!B135)</f>
        <v>Putri Kusuma</v>
      </c>
      <c r="C135" s="1">
        <v>22</v>
      </c>
      <c r="D135" s="1" t="s">
        <v>12</v>
      </c>
      <c r="E135" s="8">
        <v>45700</v>
      </c>
      <c r="F135" s="1">
        <v>383843</v>
      </c>
      <c r="G135" s="8">
        <v>45710</v>
      </c>
      <c r="H135" s="1">
        <v>620</v>
      </c>
      <c r="I135" s="9">
        <v>14876013</v>
      </c>
      <c r="J135" s="9">
        <v>5558765</v>
      </c>
      <c r="K135" s="1" t="s">
        <v>20</v>
      </c>
      <c r="L135" s="1" t="str">
        <f>_xlfn.XLOOKUP(K135,Lookup!$G$4:$G$15,Lookup!$F$4:$F$15,"Unmapping",0,1)</f>
        <v>Jawa Timur</v>
      </c>
      <c r="M135" s="1" t="str">
        <f>VLOOKUP(H135,Lookup!$C$4:$D$9,2,0)</f>
        <v>Wadiah</v>
      </c>
      <c r="N135" s="6" t="str">
        <f t="shared" si="4"/>
        <v>Optimal</v>
      </c>
      <c r="O135" s="6" t="str" cm="1">
        <f t="array" ref="O135">_xlfn.IFS(C135&lt;=25,"Grade C",C135&lt;=35,"Grade A",C135&lt;=55,"Grade B",C135&gt;55,"Grade D")</f>
        <v>Grade C</v>
      </c>
      <c r="P135" s="6" t="str">
        <f t="shared" si="5"/>
        <v>Middle</v>
      </c>
    </row>
  </sheetData>
  <mergeCells count="2">
    <mergeCell ref="S11:S12"/>
    <mergeCell ref="T11:V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1271-A326-4C5E-B425-4232E073721F}">
  <dimension ref="C3:M15"/>
  <sheetViews>
    <sheetView showGridLines="0" topLeftCell="B1" workbookViewId="0">
      <selection activeCell="P13" sqref="P13"/>
    </sheetView>
  </sheetViews>
  <sheetFormatPr defaultRowHeight="14.5" x14ac:dyDescent="0.35"/>
  <cols>
    <col min="2" max="2" width="2.6328125" customWidth="1"/>
    <col min="3" max="3" width="8.36328125" customWidth="1"/>
    <col min="4" max="4" width="14.54296875" customWidth="1"/>
    <col min="5" max="5" width="2.81640625" customWidth="1"/>
    <col min="6" max="6" width="20.08984375" customWidth="1"/>
    <col min="7" max="7" width="10.7265625" customWidth="1"/>
    <col min="8" max="8" width="3.1796875" customWidth="1"/>
    <col min="9" max="9" width="11.453125" bestFit="1" customWidth="1"/>
  </cols>
  <sheetData>
    <row r="3" spans="3:13" x14ac:dyDescent="0.35">
      <c r="C3" s="11" t="s">
        <v>183</v>
      </c>
      <c r="D3" s="11" t="s">
        <v>141</v>
      </c>
      <c r="F3" s="11" t="s">
        <v>182</v>
      </c>
      <c r="G3" s="11" t="s">
        <v>140</v>
      </c>
      <c r="I3" s="14" t="s">
        <v>142</v>
      </c>
      <c r="J3" s="15" t="s">
        <v>181</v>
      </c>
      <c r="K3" s="15"/>
      <c r="L3" s="15"/>
      <c r="M3" s="3"/>
    </row>
    <row r="4" spans="3:13" x14ac:dyDescent="0.35">
      <c r="C4" s="6">
        <v>621</v>
      </c>
      <c r="D4" s="1" t="s">
        <v>180</v>
      </c>
      <c r="F4" s="1" t="s">
        <v>179</v>
      </c>
      <c r="G4" s="1" t="s">
        <v>13</v>
      </c>
      <c r="I4" s="14"/>
      <c r="J4" s="3" t="s">
        <v>160</v>
      </c>
      <c r="K4" s="3" t="s">
        <v>155</v>
      </c>
      <c r="L4" s="3" t="s">
        <v>150</v>
      </c>
      <c r="M4" s="3" t="s">
        <v>147</v>
      </c>
    </row>
    <row r="5" spans="3:13" x14ac:dyDescent="0.35">
      <c r="C5" s="6">
        <v>620</v>
      </c>
      <c r="D5" s="1" t="s">
        <v>178</v>
      </c>
      <c r="F5" s="1" t="s">
        <v>177</v>
      </c>
      <c r="G5" s="1" t="s">
        <v>16</v>
      </c>
      <c r="I5" s="1" t="s">
        <v>162</v>
      </c>
      <c r="J5" s="4" t="s">
        <v>176</v>
      </c>
      <c r="K5" s="4" t="s">
        <v>176</v>
      </c>
      <c r="L5" s="4" t="s">
        <v>176</v>
      </c>
      <c r="M5" s="4" t="s">
        <v>176</v>
      </c>
    </row>
    <row r="6" spans="3:13" x14ac:dyDescent="0.35">
      <c r="C6" s="6">
        <v>521</v>
      </c>
      <c r="D6" s="1" t="s">
        <v>175</v>
      </c>
      <c r="F6" s="1" t="s">
        <v>174</v>
      </c>
      <c r="G6" s="1" t="s">
        <v>18</v>
      </c>
      <c r="I6" s="1" t="s">
        <v>157</v>
      </c>
      <c r="J6" s="4" t="s">
        <v>170</v>
      </c>
      <c r="K6" s="4" t="s">
        <v>170</v>
      </c>
      <c r="L6" s="4" t="s">
        <v>173</v>
      </c>
      <c r="M6" s="4" t="s">
        <v>173</v>
      </c>
    </row>
    <row r="7" spans="3:13" x14ac:dyDescent="0.35">
      <c r="C7" s="6">
        <v>808</v>
      </c>
      <c r="D7" s="1" t="s">
        <v>172</v>
      </c>
      <c r="F7" s="1" t="s">
        <v>171</v>
      </c>
      <c r="G7" s="1" t="s">
        <v>20</v>
      </c>
      <c r="I7" s="1" t="s">
        <v>152</v>
      </c>
      <c r="J7" s="4" t="s">
        <v>170</v>
      </c>
      <c r="K7" s="4" t="s">
        <v>170</v>
      </c>
      <c r="L7" s="4" t="s">
        <v>170</v>
      </c>
      <c r="M7" s="4" t="s">
        <v>170</v>
      </c>
    </row>
    <row r="8" spans="3:13" x14ac:dyDescent="0.35">
      <c r="C8" s="6">
        <v>413</v>
      </c>
      <c r="D8" s="1" t="s">
        <v>169</v>
      </c>
      <c r="F8" s="1" t="s">
        <v>168</v>
      </c>
      <c r="G8" s="1" t="s">
        <v>22</v>
      </c>
    </row>
    <row r="9" spans="3:13" x14ac:dyDescent="0.35">
      <c r="C9" s="6">
        <v>712</v>
      </c>
      <c r="D9" s="1" t="s">
        <v>167</v>
      </c>
      <c r="F9" s="1" t="s">
        <v>166</v>
      </c>
      <c r="G9" s="1" t="s">
        <v>24</v>
      </c>
      <c r="I9" s="3" t="s">
        <v>165</v>
      </c>
      <c r="J9" s="2" t="s">
        <v>8</v>
      </c>
      <c r="L9" s="2" t="s">
        <v>164</v>
      </c>
      <c r="M9" s="2" t="s">
        <v>2</v>
      </c>
    </row>
    <row r="10" spans="3:13" x14ac:dyDescent="0.35">
      <c r="F10" s="1" t="s">
        <v>163</v>
      </c>
      <c r="G10" s="1" t="s">
        <v>26</v>
      </c>
      <c r="I10" s="1" t="s">
        <v>162</v>
      </c>
      <c r="J10" s="1" t="s">
        <v>161</v>
      </c>
      <c r="L10" s="1" t="s">
        <v>160</v>
      </c>
      <c r="M10" s="1" t="s">
        <v>159</v>
      </c>
    </row>
    <row r="11" spans="3:13" x14ac:dyDescent="0.35">
      <c r="F11" s="1" t="s">
        <v>158</v>
      </c>
      <c r="G11" s="1" t="s">
        <v>28</v>
      </c>
      <c r="I11" s="1" t="s">
        <v>157</v>
      </c>
      <c r="J11" s="1" t="s">
        <v>156</v>
      </c>
      <c r="L11" s="1" t="s">
        <v>155</v>
      </c>
      <c r="M11" s="1" t="s">
        <v>154</v>
      </c>
    </row>
    <row r="12" spans="3:13" x14ac:dyDescent="0.35">
      <c r="F12" s="1" t="s">
        <v>153</v>
      </c>
      <c r="G12" s="1" t="s">
        <v>30</v>
      </c>
      <c r="I12" s="1" t="s">
        <v>152</v>
      </c>
      <c r="J12" s="1" t="s">
        <v>151</v>
      </c>
      <c r="L12" s="1" t="s">
        <v>150</v>
      </c>
      <c r="M12" s="1" t="s">
        <v>149</v>
      </c>
    </row>
    <row r="13" spans="3:13" x14ac:dyDescent="0.35">
      <c r="F13" s="1" t="s">
        <v>148</v>
      </c>
      <c r="G13" s="1" t="s">
        <v>32</v>
      </c>
      <c r="L13" s="1" t="s">
        <v>147</v>
      </c>
      <c r="M13" s="1" t="s">
        <v>146</v>
      </c>
    </row>
    <row r="14" spans="3:13" x14ac:dyDescent="0.35">
      <c r="F14" s="1" t="s">
        <v>145</v>
      </c>
      <c r="G14" s="1" t="s">
        <v>34</v>
      </c>
    </row>
    <row r="15" spans="3:13" x14ac:dyDescent="0.35">
      <c r="F15" s="1" t="s">
        <v>144</v>
      </c>
      <c r="G15" s="1" t="s">
        <v>36</v>
      </c>
    </row>
  </sheetData>
  <mergeCells count="2">
    <mergeCell ref="I3:I4"/>
    <mergeCell ref="J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0198-BCE2-40EC-8E58-1A12C3CF4AF4}">
  <dimension ref="A3:E9"/>
  <sheetViews>
    <sheetView workbookViewId="0">
      <selection activeCell="A4" sqref="A4:E9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4.08984375" bestFit="1" customWidth="1"/>
    <col min="4" max="4" width="6.54296875" bestFit="1" customWidth="1"/>
    <col min="5" max="5" width="10.36328125" bestFit="1" customWidth="1"/>
  </cols>
  <sheetData>
    <row r="3" spans="1:5" x14ac:dyDescent="0.35">
      <c r="A3" s="12" t="s">
        <v>203</v>
      </c>
      <c r="B3" s="12" t="s">
        <v>197</v>
      </c>
    </row>
    <row r="4" spans="1:5" x14ac:dyDescent="0.35">
      <c r="A4" s="12" t="s">
        <v>187</v>
      </c>
      <c r="B4" t="s">
        <v>170</v>
      </c>
      <c r="C4" t="s">
        <v>176</v>
      </c>
      <c r="D4" t="s">
        <v>173</v>
      </c>
      <c r="E4" t="s">
        <v>188</v>
      </c>
    </row>
    <row r="5" spans="1:5" x14ac:dyDescent="0.35">
      <c r="A5" s="13" t="s">
        <v>160</v>
      </c>
      <c r="B5" s="28">
        <v>14</v>
      </c>
      <c r="C5" s="28">
        <v>17</v>
      </c>
      <c r="D5" s="28"/>
      <c r="E5" s="28">
        <v>31</v>
      </c>
    </row>
    <row r="6" spans="1:5" x14ac:dyDescent="0.35">
      <c r="A6" s="13" t="s">
        <v>155</v>
      </c>
      <c r="B6" s="28">
        <v>23</v>
      </c>
      <c r="C6" s="28">
        <v>23</v>
      </c>
      <c r="D6" s="28"/>
      <c r="E6" s="28">
        <v>46</v>
      </c>
    </row>
    <row r="7" spans="1:5" x14ac:dyDescent="0.35">
      <c r="A7" s="13" t="s">
        <v>150</v>
      </c>
      <c r="B7" s="28">
        <v>13</v>
      </c>
      <c r="C7" s="28">
        <v>13</v>
      </c>
      <c r="D7" s="28">
        <v>9</v>
      </c>
      <c r="E7" s="28">
        <v>35</v>
      </c>
    </row>
    <row r="8" spans="1:5" x14ac:dyDescent="0.35">
      <c r="A8" s="13" t="s">
        <v>147</v>
      </c>
      <c r="B8" s="28">
        <v>8</v>
      </c>
      <c r="C8" s="28">
        <v>7</v>
      </c>
      <c r="D8" s="28">
        <v>7</v>
      </c>
      <c r="E8" s="28">
        <v>22</v>
      </c>
    </row>
    <row r="9" spans="1:5" x14ac:dyDescent="0.35">
      <c r="A9" s="13" t="s">
        <v>188</v>
      </c>
      <c r="B9" s="28">
        <v>58</v>
      </c>
      <c r="C9" s="28">
        <v>60</v>
      </c>
      <c r="D9" s="28">
        <v>16</v>
      </c>
      <c r="E9" s="28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D55B-E3E5-4313-8057-5A60B04177B5}">
  <dimension ref="B1:F91"/>
  <sheetViews>
    <sheetView showGridLines="0" topLeftCell="A76" zoomScaleNormal="100" workbookViewId="0">
      <selection activeCell="I89" sqref="I89"/>
    </sheetView>
  </sheetViews>
  <sheetFormatPr defaultRowHeight="14" x14ac:dyDescent="0.3"/>
  <cols>
    <col min="1" max="1" width="1.7265625" style="16" customWidth="1"/>
    <col min="2" max="2" width="20.08984375" style="16" customWidth="1"/>
    <col min="3" max="3" width="15.08984375" style="16" customWidth="1"/>
    <col min="4" max="4" width="15.7265625" style="16" customWidth="1"/>
    <col min="5" max="5" width="21.26953125" style="16" bestFit="1" customWidth="1"/>
    <col min="6" max="6" width="20.1796875" style="16" customWidth="1"/>
    <col min="7" max="16384" width="8.7265625" style="16"/>
  </cols>
  <sheetData>
    <row r="1" spans="2:5" ht="6.5" customHeight="1" x14ac:dyDescent="0.3"/>
    <row r="2" spans="2:5" x14ac:dyDescent="0.3">
      <c r="B2" s="27" t="s">
        <v>191</v>
      </c>
    </row>
    <row r="3" spans="2:5" ht="6.5" customHeight="1" x14ac:dyDescent="0.3"/>
    <row r="4" spans="2:5" s="18" customFormat="1" ht="25.5" customHeight="1" x14ac:dyDescent="0.35">
      <c r="B4" s="29" t="s">
        <v>140</v>
      </c>
      <c r="C4" s="29" t="s">
        <v>189</v>
      </c>
      <c r="D4" s="29" t="s">
        <v>186</v>
      </c>
      <c r="E4" s="29" t="s">
        <v>190</v>
      </c>
    </row>
    <row r="5" spans="2:5" x14ac:dyDescent="0.3">
      <c r="B5" s="21" t="s">
        <v>179</v>
      </c>
      <c r="C5" s="26">
        <v>22</v>
      </c>
      <c r="D5" s="24">
        <v>1159201312</v>
      </c>
      <c r="E5" s="24">
        <v>52870319.909090906</v>
      </c>
    </row>
    <row r="6" spans="2:5" x14ac:dyDescent="0.3">
      <c r="B6" s="21" t="s">
        <v>177</v>
      </c>
      <c r="C6" s="26">
        <v>14</v>
      </c>
      <c r="D6" s="24">
        <v>658257282</v>
      </c>
      <c r="E6" s="24">
        <v>49933058.714285716</v>
      </c>
    </row>
    <row r="7" spans="2:5" x14ac:dyDescent="0.3">
      <c r="B7" s="21" t="s">
        <v>144</v>
      </c>
      <c r="C7" s="26">
        <v>20</v>
      </c>
      <c r="D7" s="24">
        <v>449105756</v>
      </c>
      <c r="E7" s="24">
        <v>24103529.600000001</v>
      </c>
    </row>
    <row r="8" spans="2:5" x14ac:dyDescent="0.3">
      <c r="B8" s="21" t="s">
        <v>171</v>
      </c>
      <c r="C8" s="26">
        <v>14</v>
      </c>
      <c r="D8" s="24">
        <v>308532464</v>
      </c>
      <c r="E8" s="24">
        <v>18918210.071428571</v>
      </c>
    </row>
    <row r="9" spans="2:5" x14ac:dyDescent="0.3">
      <c r="B9" s="21" t="s">
        <v>174</v>
      </c>
      <c r="C9" s="26">
        <v>12</v>
      </c>
      <c r="D9" s="24">
        <v>233389404</v>
      </c>
      <c r="E9" s="24">
        <v>25430952.583333332</v>
      </c>
    </row>
    <row r="10" spans="2:5" x14ac:dyDescent="0.3">
      <c r="B10" s="21" t="s">
        <v>166</v>
      </c>
      <c r="C10" s="26">
        <v>9</v>
      </c>
      <c r="D10" s="24">
        <v>172508317</v>
      </c>
      <c r="E10" s="24">
        <v>23298640.777777776</v>
      </c>
    </row>
    <row r="11" spans="2:5" x14ac:dyDescent="0.3">
      <c r="B11" s="21" t="s">
        <v>168</v>
      </c>
      <c r="C11" s="26">
        <v>9</v>
      </c>
      <c r="D11" s="24">
        <v>164387292</v>
      </c>
      <c r="E11" s="24">
        <v>14124270.777777778</v>
      </c>
    </row>
    <row r="12" spans="2:5" x14ac:dyDescent="0.3">
      <c r="B12" s="21" t="s">
        <v>148</v>
      </c>
      <c r="C12" s="26">
        <v>6</v>
      </c>
      <c r="D12" s="24">
        <v>149634306</v>
      </c>
      <c r="E12" s="24">
        <v>21777746.833333332</v>
      </c>
    </row>
    <row r="13" spans="2:5" x14ac:dyDescent="0.3">
      <c r="B13" s="21" t="s">
        <v>153</v>
      </c>
      <c r="C13" s="26">
        <v>6</v>
      </c>
      <c r="D13" s="24">
        <v>134812268</v>
      </c>
      <c r="E13" s="24">
        <v>22915962</v>
      </c>
    </row>
    <row r="14" spans="2:5" x14ac:dyDescent="0.3">
      <c r="B14" s="21" t="s">
        <v>145</v>
      </c>
      <c r="C14" s="26">
        <v>6</v>
      </c>
      <c r="D14" s="24">
        <v>121731484</v>
      </c>
      <c r="E14" s="24">
        <v>28589341.333333332</v>
      </c>
    </row>
    <row r="15" spans="2:5" x14ac:dyDescent="0.3">
      <c r="B15" s="21" t="s">
        <v>163</v>
      </c>
      <c r="C15" s="26">
        <v>7</v>
      </c>
      <c r="D15" s="24">
        <v>119907363</v>
      </c>
      <c r="E15" s="24">
        <v>16540911.714285715</v>
      </c>
    </row>
    <row r="16" spans="2:5" x14ac:dyDescent="0.3">
      <c r="B16" s="21" t="s">
        <v>158</v>
      </c>
      <c r="C16" s="26">
        <v>9</v>
      </c>
      <c r="D16" s="24">
        <v>89174366</v>
      </c>
      <c r="E16" s="24">
        <v>12836764.111111112</v>
      </c>
    </row>
    <row r="17" spans="2:5" s="17" customFormat="1" ht="21" customHeight="1" x14ac:dyDescent="0.35">
      <c r="B17" s="23" t="s">
        <v>188</v>
      </c>
      <c r="C17" s="20">
        <f>SUM(C5:C16)</f>
        <v>134</v>
      </c>
      <c r="D17" s="25">
        <f t="shared" ref="D17:E17" si="0">SUM(D5:D16)</f>
        <v>3760641614</v>
      </c>
      <c r="E17" s="25">
        <f t="shared" si="0"/>
        <v>311339708.42575765</v>
      </c>
    </row>
    <row r="18" spans="2:5" ht="7" customHeight="1" x14ac:dyDescent="0.3"/>
    <row r="19" spans="2:5" x14ac:dyDescent="0.3">
      <c r="B19" s="27" t="s">
        <v>192</v>
      </c>
    </row>
    <row r="20" spans="2:5" ht="9.5" customHeight="1" x14ac:dyDescent="0.3"/>
    <row r="21" spans="2:5" s="19" customFormat="1" ht="19" customHeight="1" x14ac:dyDescent="0.35">
      <c r="B21" s="29" t="s">
        <v>165</v>
      </c>
      <c r="C21" s="29" t="s">
        <v>189</v>
      </c>
      <c r="D21" s="29" t="s">
        <v>193</v>
      </c>
    </row>
    <row r="22" spans="2:5" x14ac:dyDescent="0.3">
      <c r="B22" s="21" t="s">
        <v>162</v>
      </c>
      <c r="C22" s="26">
        <v>60</v>
      </c>
      <c r="D22" s="24">
        <v>293852589</v>
      </c>
    </row>
    <row r="23" spans="2:5" x14ac:dyDescent="0.3">
      <c r="B23" s="21" t="s">
        <v>152</v>
      </c>
      <c r="C23" s="26">
        <v>39</v>
      </c>
      <c r="D23" s="24">
        <v>2919740465</v>
      </c>
    </row>
    <row r="24" spans="2:5" x14ac:dyDescent="0.3">
      <c r="B24" s="21" t="s">
        <v>157</v>
      </c>
      <c r="C24" s="26">
        <v>35</v>
      </c>
      <c r="D24" s="24">
        <v>547048560</v>
      </c>
    </row>
    <row r="25" spans="2:5" s="17" customFormat="1" ht="16.5" customHeight="1" x14ac:dyDescent="0.35">
      <c r="B25" s="23" t="s">
        <v>188</v>
      </c>
      <c r="C25" s="20">
        <v>134</v>
      </c>
      <c r="D25" s="25">
        <v>3760641614</v>
      </c>
    </row>
    <row r="34" spans="2:3" x14ac:dyDescent="0.3">
      <c r="B34" s="27" t="s">
        <v>194</v>
      </c>
    </row>
    <row r="35" spans="2:3" ht="7" customHeight="1" x14ac:dyDescent="0.3"/>
    <row r="36" spans="2:3" s="17" customFormat="1" ht="18.5" customHeight="1" x14ac:dyDescent="0.35">
      <c r="B36" s="29" t="s">
        <v>195</v>
      </c>
      <c r="C36" s="29" t="s">
        <v>189</v>
      </c>
    </row>
    <row r="37" spans="2:3" x14ac:dyDescent="0.3">
      <c r="B37" s="21" t="s">
        <v>160</v>
      </c>
      <c r="C37" s="26">
        <v>31</v>
      </c>
    </row>
    <row r="38" spans="2:3" x14ac:dyDescent="0.3">
      <c r="B38" s="21" t="s">
        <v>155</v>
      </c>
      <c r="C38" s="26">
        <v>46</v>
      </c>
    </row>
    <row r="39" spans="2:3" x14ac:dyDescent="0.3">
      <c r="B39" s="21" t="s">
        <v>150</v>
      </c>
      <c r="C39" s="26">
        <v>35</v>
      </c>
    </row>
    <row r="40" spans="2:3" x14ac:dyDescent="0.3">
      <c r="B40" s="21" t="s">
        <v>147</v>
      </c>
      <c r="C40" s="26">
        <v>22</v>
      </c>
    </row>
    <row r="41" spans="2:3" x14ac:dyDescent="0.3">
      <c r="B41" s="22" t="s">
        <v>188</v>
      </c>
      <c r="C41" s="30">
        <v>134</v>
      </c>
    </row>
    <row r="49" spans="2:5" x14ac:dyDescent="0.3">
      <c r="B49" s="27" t="s">
        <v>196</v>
      </c>
    </row>
    <row r="50" spans="2:5" ht="7.5" customHeight="1" x14ac:dyDescent="0.3"/>
    <row r="51" spans="2:5" ht="14.5" customHeight="1" x14ac:dyDescent="0.3">
      <c r="B51" s="38" t="s">
        <v>141</v>
      </c>
      <c r="C51" s="39" t="s">
        <v>198</v>
      </c>
      <c r="D51" s="39"/>
      <c r="E51" s="38" t="s">
        <v>201</v>
      </c>
    </row>
    <row r="52" spans="2:5" x14ac:dyDescent="0.3">
      <c r="B52" s="40"/>
      <c r="C52" s="41" t="s">
        <v>199</v>
      </c>
      <c r="D52" s="41" t="s">
        <v>200</v>
      </c>
      <c r="E52" s="40"/>
    </row>
    <row r="53" spans="2:5" x14ac:dyDescent="0.3">
      <c r="B53" s="21" t="s">
        <v>167</v>
      </c>
      <c r="C53" s="26">
        <v>32</v>
      </c>
      <c r="D53" s="26">
        <v>21</v>
      </c>
      <c r="E53" s="26">
        <v>53</v>
      </c>
    </row>
    <row r="54" spans="2:5" x14ac:dyDescent="0.3">
      <c r="B54" s="21" t="s">
        <v>178</v>
      </c>
      <c r="C54" s="26">
        <v>12</v>
      </c>
      <c r="D54" s="26">
        <v>10</v>
      </c>
      <c r="E54" s="26">
        <v>22</v>
      </c>
    </row>
    <row r="55" spans="2:5" x14ac:dyDescent="0.3">
      <c r="B55" s="21" t="s">
        <v>180</v>
      </c>
      <c r="C55" s="26">
        <v>5</v>
      </c>
      <c r="D55" s="26">
        <v>12</v>
      </c>
      <c r="E55" s="26">
        <v>17</v>
      </c>
    </row>
    <row r="56" spans="2:5" x14ac:dyDescent="0.3">
      <c r="B56" s="21" t="s">
        <v>175</v>
      </c>
      <c r="C56" s="26">
        <v>6</v>
      </c>
      <c r="D56" s="26">
        <v>10</v>
      </c>
      <c r="E56" s="26">
        <v>16</v>
      </c>
    </row>
    <row r="57" spans="2:5" x14ac:dyDescent="0.3">
      <c r="B57" s="21" t="s">
        <v>172</v>
      </c>
      <c r="C57" s="26">
        <v>3</v>
      </c>
      <c r="D57" s="26">
        <v>10</v>
      </c>
      <c r="E57" s="26">
        <v>13</v>
      </c>
    </row>
    <row r="58" spans="2:5" s="17" customFormat="1" x14ac:dyDescent="0.3">
      <c r="B58" s="21" t="s">
        <v>169</v>
      </c>
      <c r="C58" s="26">
        <v>9</v>
      </c>
      <c r="D58" s="26">
        <v>4</v>
      </c>
      <c r="E58" s="26">
        <v>13</v>
      </c>
    </row>
    <row r="59" spans="2:5" ht="20" customHeight="1" x14ac:dyDescent="0.3">
      <c r="B59" s="23" t="s">
        <v>188</v>
      </c>
      <c r="C59" s="20">
        <v>67</v>
      </c>
      <c r="D59" s="20">
        <v>67</v>
      </c>
      <c r="E59" s="20">
        <v>134</v>
      </c>
    </row>
    <row r="65" spans="2:6" x14ac:dyDescent="0.3">
      <c r="B65" s="27" t="s">
        <v>202</v>
      </c>
    </row>
    <row r="66" spans="2:6" ht="6.5" customHeight="1" x14ac:dyDescent="0.3"/>
    <row r="67" spans="2:6" ht="14.5" customHeight="1" x14ac:dyDescent="0.3">
      <c r="B67" s="31" t="s">
        <v>140</v>
      </c>
      <c r="C67" s="32" t="s">
        <v>204</v>
      </c>
      <c r="D67" s="33"/>
      <c r="E67" s="34"/>
      <c r="F67" s="35" t="s">
        <v>201</v>
      </c>
    </row>
    <row r="68" spans="2:6" x14ac:dyDescent="0.3">
      <c r="B68" s="31"/>
      <c r="C68" s="36" t="s">
        <v>170</v>
      </c>
      <c r="D68" s="36" t="s">
        <v>173</v>
      </c>
      <c r="E68" s="36" t="s">
        <v>176</v>
      </c>
      <c r="F68" s="37"/>
    </row>
    <row r="69" spans="2:6" x14ac:dyDescent="0.3">
      <c r="B69" s="21" t="s">
        <v>179</v>
      </c>
      <c r="C69" s="26">
        <v>16</v>
      </c>
      <c r="D69" s="26">
        <v>1</v>
      </c>
      <c r="E69" s="26">
        <v>5</v>
      </c>
      <c r="F69" s="26">
        <v>22</v>
      </c>
    </row>
    <row r="70" spans="2:6" x14ac:dyDescent="0.3">
      <c r="B70" s="21" t="s">
        <v>177</v>
      </c>
      <c r="C70" s="26">
        <v>10</v>
      </c>
      <c r="D70" s="26">
        <v>1</v>
      </c>
      <c r="E70" s="26">
        <v>3</v>
      </c>
      <c r="F70" s="26">
        <v>14</v>
      </c>
    </row>
    <row r="71" spans="2:6" x14ac:dyDescent="0.3">
      <c r="B71" s="21" t="s">
        <v>174</v>
      </c>
      <c r="C71" s="26">
        <v>6</v>
      </c>
      <c r="D71" s="26">
        <v>2</v>
      </c>
      <c r="E71" s="26">
        <v>4</v>
      </c>
      <c r="F71" s="26">
        <v>12</v>
      </c>
    </row>
    <row r="72" spans="2:6" x14ac:dyDescent="0.3">
      <c r="B72" s="21" t="s">
        <v>144</v>
      </c>
      <c r="C72" s="26">
        <v>6</v>
      </c>
      <c r="D72" s="26">
        <v>1</v>
      </c>
      <c r="E72" s="26">
        <v>13</v>
      </c>
      <c r="F72" s="26">
        <v>20</v>
      </c>
    </row>
    <row r="73" spans="2:6" x14ac:dyDescent="0.3">
      <c r="B73" s="21" t="s">
        <v>145</v>
      </c>
      <c r="C73" s="26">
        <v>4</v>
      </c>
      <c r="D73" s="26"/>
      <c r="E73" s="26">
        <v>2</v>
      </c>
      <c r="F73" s="26">
        <v>6</v>
      </c>
    </row>
    <row r="74" spans="2:6" x14ac:dyDescent="0.3">
      <c r="B74" s="21" t="s">
        <v>153</v>
      </c>
      <c r="C74" s="26">
        <v>3</v>
      </c>
      <c r="D74" s="26"/>
      <c r="E74" s="26">
        <v>3</v>
      </c>
      <c r="F74" s="26">
        <v>6</v>
      </c>
    </row>
    <row r="75" spans="2:6" x14ac:dyDescent="0.3">
      <c r="B75" s="21" t="s">
        <v>171</v>
      </c>
      <c r="C75" s="26">
        <v>3</v>
      </c>
      <c r="D75" s="26">
        <v>5</v>
      </c>
      <c r="E75" s="26">
        <v>6</v>
      </c>
      <c r="F75" s="26">
        <v>14</v>
      </c>
    </row>
    <row r="76" spans="2:6" x14ac:dyDescent="0.3">
      <c r="B76" s="21" t="s">
        <v>168</v>
      </c>
      <c r="C76" s="26">
        <v>3</v>
      </c>
      <c r="D76" s="26">
        <v>2</v>
      </c>
      <c r="E76" s="26">
        <v>4</v>
      </c>
      <c r="F76" s="26">
        <v>9</v>
      </c>
    </row>
    <row r="77" spans="2:6" x14ac:dyDescent="0.3">
      <c r="B77" s="21" t="s">
        <v>166</v>
      </c>
      <c r="C77" s="26">
        <v>3</v>
      </c>
      <c r="D77" s="26">
        <v>2</v>
      </c>
      <c r="E77" s="26">
        <v>4</v>
      </c>
      <c r="F77" s="26">
        <v>9</v>
      </c>
    </row>
    <row r="78" spans="2:6" x14ac:dyDescent="0.3">
      <c r="B78" s="21" t="s">
        <v>148</v>
      </c>
      <c r="C78" s="26">
        <v>2</v>
      </c>
      <c r="D78" s="26">
        <v>1</v>
      </c>
      <c r="E78" s="26">
        <v>3</v>
      </c>
      <c r="F78" s="26">
        <v>6</v>
      </c>
    </row>
    <row r="79" spans="2:6" x14ac:dyDescent="0.3">
      <c r="B79" s="21" t="s">
        <v>163</v>
      </c>
      <c r="C79" s="26">
        <v>1</v>
      </c>
      <c r="D79" s="26"/>
      <c r="E79" s="26">
        <v>6</v>
      </c>
      <c r="F79" s="26">
        <v>7</v>
      </c>
    </row>
    <row r="80" spans="2:6" x14ac:dyDescent="0.3">
      <c r="B80" s="21" t="s">
        <v>158</v>
      </c>
      <c r="C80" s="26">
        <v>1</v>
      </c>
      <c r="D80" s="26">
        <v>1</v>
      </c>
      <c r="E80" s="26">
        <v>7</v>
      </c>
      <c r="F80" s="26">
        <v>9</v>
      </c>
    </row>
    <row r="81" spans="2:6" x14ac:dyDescent="0.3">
      <c r="B81" s="22" t="s">
        <v>188</v>
      </c>
      <c r="C81" s="30">
        <f>SUM(C69:C80)</f>
        <v>58</v>
      </c>
      <c r="D81" s="30">
        <f t="shared" ref="D81:F81" si="1">SUM(D69:D80)</f>
        <v>16</v>
      </c>
      <c r="E81" s="30">
        <f t="shared" si="1"/>
        <v>60</v>
      </c>
      <c r="F81" s="30">
        <f t="shared" si="1"/>
        <v>134</v>
      </c>
    </row>
    <row r="83" spans="2:6" x14ac:dyDescent="0.3">
      <c r="B83" s="27" t="s">
        <v>220</v>
      </c>
    </row>
    <row r="85" spans="2:6" x14ac:dyDescent="0.3">
      <c r="B85" s="31" t="s">
        <v>140</v>
      </c>
      <c r="C85" s="32" t="s">
        <v>204</v>
      </c>
      <c r="D85" s="33"/>
      <c r="E85" s="34"/>
      <c r="F85" s="35" t="s">
        <v>201</v>
      </c>
    </row>
    <row r="86" spans="2:6" x14ac:dyDescent="0.3">
      <c r="B86" s="31"/>
      <c r="C86" s="36" t="s">
        <v>170</v>
      </c>
      <c r="D86" s="36" t="s">
        <v>173</v>
      </c>
      <c r="E86" s="36" t="s">
        <v>176</v>
      </c>
      <c r="F86" s="37"/>
    </row>
    <row r="87" spans="2:6" x14ac:dyDescent="0.3">
      <c r="B87" s="21" t="s">
        <v>160</v>
      </c>
      <c r="C87" s="26">
        <v>14</v>
      </c>
      <c r="D87" s="26">
        <v>17</v>
      </c>
      <c r="E87" s="26"/>
      <c r="F87" s="26">
        <v>31</v>
      </c>
    </row>
    <row r="88" spans="2:6" x14ac:dyDescent="0.3">
      <c r="B88" s="21" t="s">
        <v>155</v>
      </c>
      <c r="C88" s="26">
        <v>23</v>
      </c>
      <c r="D88" s="26">
        <v>23</v>
      </c>
      <c r="E88" s="26"/>
      <c r="F88" s="26">
        <v>46</v>
      </c>
    </row>
    <row r="89" spans="2:6" x14ac:dyDescent="0.3">
      <c r="B89" s="21" t="s">
        <v>150</v>
      </c>
      <c r="C89" s="26">
        <v>13</v>
      </c>
      <c r="D89" s="26">
        <v>13</v>
      </c>
      <c r="E89" s="26">
        <v>9</v>
      </c>
      <c r="F89" s="26">
        <v>35</v>
      </c>
    </row>
    <row r="90" spans="2:6" x14ac:dyDescent="0.3">
      <c r="B90" s="21" t="s">
        <v>147</v>
      </c>
      <c r="C90" s="26">
        <v>8</v>
      </c>
      <c r="D90" s="26">
        <v>7</v>
      </c>
      <c r="E90" s="26">
        <v>7</v>
      </c>
      <c r="F90" s="26">
        <v>22</v>
      </c>
    </row>
    <row r="91" spans="2:6" x14ac:dyDescent="0.3">
      <c r="B91" s="22" t="s">
        <v>188</v>
      </c>
      <c r="C91" s="30">
        <v>58</v>
      </c>
      <c r="D91" s="30">
        <v>60</v>
      </c>
      <c r="E91" s="30">
        <v>16</v>
      </c>
      <c r="F91" s="30">
        <v>134</v>
      </c>
    </row>
  </sheetData>
  <mergeCells count="9">
    <mergeCell ref="B85:B86"/>
    <mergeCell ref="C85:E85"/>
    <mergeCell ref="F85:F86"/>
    <mergeCell ref="C51:D51"/>
    <mergeCell ref="E51:E52"/>
    <mergeCell ref="B51:B52"/>
    <mergeCell ref="B67:B68"/>
    <mergeCell ref="C67:E67"/>
    <mergeCell ref="F67:F6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B367-32B2-4729-83D5-A0881CFCC7BF}">
  <sheetPr>
    <tabColor rgb="FFFFC000"/>
  </sheetPr>
  <dimension ref="B1:K63"/>
  <sheetViews>
    <sheetView showGridLines="0" view="pageBreakPreview" zoomScale="60" zoomScaleNormal="90" workbookViewId="0">
      <selection activeCell="P18" sqref="P18"/>
    </sheetView>
  </sheetViews>
  <sheetFormatPr defaultRowHeight="14" x14ac:dyDescent="0.3"/>
  <cols>
    <col min="1" max="1" width="1.81640625" style="16" customWidth="1"/>
    <col min="2" max="3" width="2.6328125" style="16" customWidth="1"/>
    <col min="4" max="4" width="16.453125" style="16" customWidth="1"/>
    <col min="5" max="5" width="18.7265625" style="16" customWidth="1"/>
    <col min="6" max="6" width="19.81640625" style="16" customWidth="1"/>
    <col min="7" max="9" width="18.90625" style="16" customWidth="1"/>
    <col min="10" max="10" width="6.6328125" style="16" customWidth="1"/>
    <col min="11" max="11" width="2.54296875" style="16" customWidth="1"/>
    <col min="12" max="12" width="3.26953125" style="16" customWidth="1"/>
    <col min="13" max="16384" width="8.7265625" style="16"/>
  </cols>
  <sheetData>
    <row r="1" spans="2:11" ht="7.5" customHeight="1" thickBot="1" x14ac:dyDescent="0.35"/>
    <row r="2" spans="2:11" ht="9" customHeight="1" x14ac:dyDescent="0.3">
      <c r="B2" s="49"/>
      <c r="C2" s="50"/>
      <c r="D2" s="50"/>
      <c r="E2" s="50"/>
      <c r="F2" s="50"/>
      <c r="G2" s="50"/>
      <c r="H2" s="50"/>
      <c r="I2" s="50"/>
      <c r="J2" s="50"/>
      <c r="K2" s="51"/>
    </row>
    <row r="3" spans="2:11" s="17" customFormat="1" ht="25.5" customHeight="1" x14ac:dyDescent="0.35">
      <c r="B3" s="52"/>
      <c r="C3" s="53" t="s">
        <v>205</v>
      </c>
      <c r="D3" s="53"/>
      <c r="E3" s="53"/>
      <c r="F3" s="53"/>
      <c r="G3" s="53"/>
      <c r="H3" s="53"/>
      <c r="I3" s="53"/>
      <c r="J3" s="53"/>
      <c r="K3" s="54"/>
    </row>
    <row r="4" spans="2:11" ht="7" customHeight="1" x14ac:dyDescent="0.3">
      <c r="B4" s="55"/>
      <c r="C4" s="42"/>
      <c r="D4" s="42"/>
      <c r="E4" s="42"/>
      <c r="F4" s="42"/>
      <c r="G4" s="42"/>
      <c r="H4" s="42"/>
      <c r="I4" s="42"/>
      <c r="J4" s="42"/>
      <c r="K4" s="56"/>
    </row>
    <row r="5" spans="2:11" ht="17.5" x14ac:dyDescent="0.35">
      <c r="B5" s="55"/>
      <c r="C5" s="57" t="s">
        <v>206</v>
      </c>
      <c r="D5" s="42"/>
      <c r="E5" s="42"/>
      <c r="F5" s="42"/>
      <c r="G5" s="42"/>
      <c r="H5" s="42"/>
      <c r="I5" s="42"/>
      <c r="J5" s="42"/>
      <c r="K5" s="56"/>
    </row>
    <row r="6" spans="2:11" ht="6.5" customHeight="1" x14ac:dyDescent="0.3">
      <c r="B6" s="55"/>
      <c r="C6" s="42"/>
      <c r="D6" s="42"/>
      <c r="E6" s="42"/>
      <c r="F6" s="42"/>
      <c r="G6" s="42"/>
      <c r="H6" s="42"/>
      <c r="I6" s="42"/>
      <c r="J6" s="42"/>
      <c r="K6" s="56"/>
    </row>
    <row r="7" spans="2:11" s="18" customFormat="1" ht="30" x14ac:dyDescent="0.35">
      <c r="B7" s="58"/>
      <c r="C7" s="59"/>
      <c r="D7" s="45" t="s">
        <v>189</v>
      </c>
      <c r="E7" s="46" t="s">
        <v>193</v>
      </c>
      <c r="F7" s="46" t="s">
        <v>207</v>
      </c>
      <c r="G7" s="45" t="s">
        <v>208</v>
      </c>
      <c r="H7" s="48"/>
      <c r="I7" s="48"/>
      <c r="J7" s="59"/>
      <c r="K7" s="60"/>
    </row>
    <row r="8" spans="2:11" s="18" customFormat="1" ht="24" customHeight="1" x14ac:dyDescent="0.35">
      <c r="B8" s="58"/>
      <c r="C8" s="59"/>
      <c r="D8" s="43">
        <v>134</v>
      </c>
      <c r="E8" s="44">
        <v>3760641614</v>
      </c>
      <c r="F8" s="44">
        <v>311339708.42575765</v>
      </c>
      <c r="G8" s="43">
        <v>58</v>
      </c>
      <c r="H8" s="47"/>
      <c r="I8" s="47"/>
      <c r="J8" s="59"/>
      <c r="K8" s="60"/>
    </row>
    <row r="9" spans="2:11" x14ac:dyDescent="0.3">
      <c r="B9" s="55"/>
      <c r="C9" s="42"/>
      <c r="D9" s="42"/>
      <c r="E9" s="42"/>
      <c r="F9" s="42"/>
      <c r="G9" s="42"/>
      <c r="H9" s="42"/>
      <c r="I9" s="42"/>
      <c r="J9" s="42"/>
      <c r="K9" s="56"/>
    </row>
    <row r="10" spans="2:11" x14ac:dyDescent="0.3">
      <c r="B10" s="55"/>
      <c r="C10" s="42"/>
      <c r="D10" s="42"/>
      <c r="E10" s="42"/>
      <c r="F10" s="42"/>
      <c r="G10" s="42"/>
      <c r="H10" s="42"/>
      <c r="I10" s="42"/>
      <c r="J10" s="42"/>
      <c r="K10" s="56"/>
    </row>
    <row r="11" spans="2:11" ht="17.5" x14ac:dyDescent="0.35">
      <c r="B11" s="55"/>
      <c r="C11" s="57" t="s">
        <v>209</v>
      </c>
      <c r="D11" s="42"/>
      <c r="E11" s="42"/>
      <c r="F11" s="42"/>
      <c r="G11" s="42"/>
      <c r="H11" s="42"/>
      <c r="I11" s="42"/>
      <c r="J11" s="42"/>
      <c r="K11" s="56"/>
    </row>
    <row r="12" spans="2:11" x14ac:dyDescent="0.3">
      <c r="B12" s="55"/>
      <c r="C12" s="42"/>
      <c r="D12" s="42"/>
      <c r="E12" s="42"/>
      <c r="F12" s="42"/>
      <c r="G12" s="42"/>
      <c r="H12" s="42"/>
      <c r="I12" s="42"/>
      <c r="J12" s="42"/>
      <c r="K12" s="56"/>
    </row>
    <row r="13" spans="2:11" x14ac:dyDescent="0.3">
      <c r="B13" s="55"/>
      <c r="C13" s="42"/>
      <c r="D13" s="42"/>
      <c r="E13" s="42"/>
      <c r="F13" s="42"/>
      <c r="G13" s="42"/>
      <c r="H13" s="42"/>
      <c r="I13" s="42"/>
      <c r="J13" s="42"/>
      <c r="K13" s="56"/>
    </row>
    <row r="14" spans="2:11" x14ac:dyDescent="0.3">
      <c r="B14" s="55"/>
      <c r="C14" s="42"/>
      <c r="D14" s="42"/>
      <c r="E14" s="42"/>
      <c r="F14" s="42"/>
      <c r="G14" s="42"/>
      <c r="H14" s="42"/>
      <c r="I14" s="42"/>
      <c r="J14" s="42"/>
      <c r="K14" s="56"/>
    </row>
    <row r="15" spans="2:11" x14ac:dyDescent="0.3">
      <c r="B15" s="55"/>
      <c r="C15" s="42"/>
      <c r="D15" s="42"/>
      <c r="E15" s="42"/>
      <c r="F15" s="42"/>
      <c r="G15" s="42"/>
      <c r="H15" s="42"/>
      <c r="I15" s="42"/>
      <c r="J15" s="42"/>
      <c r="K15" s="56"/>
    </row>
    <row r="16" spans="2:11" x14ac:dyDescent="0.3">
      <c r="B16" s="55"/>
      <c r="C16" s="42"/>
      <c r="D16" s="42"/>
      <c r="E16" s="42"/>
      <c r="F16" s="42"/>
      <c r="G16" s="42"/>
      <c r="H16" s="42"/>
      <c r="I16" s="42"/>
      <c r="J16" s="42"/>
      <c r="K16" s="56"/>
    </row>
    <row r="17" spans="2:11" x14ac:dyDescent="0.3">
      <c r="B17" s="55"/>
      <c r="C17" s="42"/>
      <c r="D17" s="42"/>
      <c r="E17" s="42"/>
      <c r="F17" s="42"/>
      <c r="G17" s="42"/>
      <c r="H17" s="42"/>
      <c r="I17" s="42"/>
      <c r="J17" s="42"/>
      <c r="K17" s="56"/>
    </row>
    <row r="18" spans="2:11" x14ac:dyDescent="0.3">
      <c r="B18" s="55"/>
      <c r="C18" s="42"/>
      <c r="D18" s="42"/>
      <c r="E18" s="42"/>
      <c r="F18" s="42"/>
      <c r="G18" s="42"/>
      <c r="H18" s="42"/>
      <c r="I18" s="42"/>
      <c r="J18" s="42"/>
      <c r="K18" s="56"/>
    </row>
    <row r="19" spans="2:11" x14ac:dyDescent="0.3">
      <c r="B19" s="55"/>
      <c r="C19" s="42"/>
      <c r="D19" s="42"/>
      <c r="E19" s="42"/>
      <c r="F19" s="42"/>
      <c r="G19" s="42"/>
      <c r="H19" s="42"/>
      <c r="I19" s="42"/>
      <c r="J19" s="42"/>
      <c r="K19" s="56"/>
    </row>
    <row r="20" spans="2:11" x14ac:dyDescent="0.3">
      <c r="B20" s="55"/>
      <c r="C20" s="42"/>
      <c r="D20" s="42"/>
      <c r="E20" s="42"/>
      <c r="F20" s="42"/>
      <c r="G20" s="42"/>
      <c r="H20" s="42"/>
      <c r="I20" s="42"/>
      <c r="J20" s="42"/>
      <c r="K20" s="56"/>
    </row>
    <row r="21" spans="2:11" x14ac:dyDescent="0.3">
      <c r="B21" s="55"/>
      <c r="C21" s="42"/>
      <c r="D21" s="42"/>
      <c r="E21" s="42"/>
      <c r="F21" s="42"/>
      <c r="G21" s="42"/>
      <c r="H21" s="42"/>
      <c r="I21" s="42"/>
      <c r="J21" s="42"/>
      <c r="K21" s="56"/>
    </row>
    <row r="22" spans="2:11" x14ac:dyDescent="0.3">
      <c r="B22" s="55"/>
      <c r="C22" s="42"/>
      <c r="D22" s="42"/>
      <c r="E22" s="42"/>
      <c r="F22" s="42"/>
      <c r="G22" s="42"/>
      <c r="H22" s="42"/>
      <c r="I22" s="42"/>
      <c r="J22" s="42"/>
      <c r="K22" s="56"/>
    </row>
    <row r="23" spans="2:11" x14ac:dyDescent="0.3">
      <c r="B23" s="55"/>
      <c r="C23" s="42"/>
      <c r="D23" s="42"/>
      <c r="E23" s="42"/>
      <c r="F23" s="42"/>
      <c r="G23" s="42"/>
      <c r="H23" s="42"/>
      <c r="I23" s="42"/>
      <c r="J23" s="42"/>
      <c r="K23" s="56"/>
    </row>
    <row r="24" spans="2:11" x14ac:dyDescent="0.3">
      <c r="B24" s="55"/>
      <c r="C24" s="42"/>
      <c r="D24" s="42"/>
      <c r="E24" s="42"/>
      <c r="F24" s="42"/>
      <c r="G24" s="42"/>
      <c r="H24" s="42"/>
      <c r="I24" s="42"/>
      <c r="J24" s="42"/>
      <c r="K24" s="56"/>
    </row>
    <row r="25" spans="2:11" x14ac:dyDescent="0.3">
      <c r="B25" s="55"/>
      <c r="C25" s="42"/>
      <c r="D25" s="42"/>
      <c r="E25" s="42"/>
      <c r="F25" s="42"/>
      <c r="G25" s="42"/>
      <c r="H25" s="42"/>
      <c r="I25" s="42"/>
      <c r="J25" s="42"/>
      <c r="K25" s="56"/>
    </row>
    <row r="26" spans="2:11" x14ac:dyDescent="0.3">
      <c r="B26" s="55"/>
      <c r="C26" s="42"/>
      <c r="D26" s="42"/>
      <c r="E26" s="42"/>
      <c r="F26" s="42"/>
      <c r="G26" s="42"/>
      <c r="H26" s="42"/>
      <c r="I26" s="42"/>
      <c r="J26" s="42"/>
      <c r="K26" s="56"/>
    </row>
    <row r="27" spans="2:11" x14ac:dyDescent="0.3">
      <c r="B27" s="55"/>
      <c r="C27" s="42"/>
      <c r="D27" s="42"/>
      <c r="E27" s="42"/>
      <c r="F27" s="42"/>
      <c r="G27" s="42"/>
      <c r="H27" s="42"/>
      <c r="I27" s="42"/>
      <c r="J27" s="42"/>
      <c r="K27" s="56"/>
    </row>
    <row r="28" spans="2:11" x14ac:dyDescent="0.3">
      <c r="B28" s="55"/>
      <c r="C28" s="42"/>
      <c r="D28" s="42"/>
      <c r="E28" s="42"/>
      <c r="F28" s="42"/>
      <c r="G28" s="42"/>
      <c r="H28" s="42"/>
      <c r="I28" s="42"/>
      <c r="J28" s="42"/>
      <c r="K28" s="56"/>
    </row>
    <row r="29" spans="2:11" x14ac:dyDescent="0.3">
      <c r="B29" s="55"/>
      <c r="C29" s="42"/>
      <c r="D29" s="42"/>
      <c r="E29" s="42"/>
      <c r="F29" s="42"/>
      <c r="G29" s="42"/>
      <c r="H29" s="42"/>
      <c r="I29" s="42"/>
      <c r="J29" s="42"/>
      <c r="K29" s="56"/>
    </row>
    <row r="30" spans="2:11" x14ac:dyDescent="0.3">
      <c r="B30" s="55"/>
      <c r="C30" s="42"/>
      <c r="D30" s="42"/>
      <c r="E30" s="42"/>
      <c r="F30" s="42"/>
      <c r="G30" s="42"/>
      <c r="H30" s="42"/>
      <c r="I30" s="42"/>
      <c r="J30" s="42"/>
      <c r="K30" s="56"/>
    </row>
    <row r="31" spans="2:11" x14ac:dyDescent="0.3">
      <c r="B31" s="55"/>
      <c r="C31" s="42"/>
      <c r="D31" s="42"/>
      <c r="E31" s="42"/>
      <c r="F31" s="42"/>
      <c r="G31" s="42"/>
      <c r="H31" s="42"/>
      <c r="I31" s="42"/>
      <c r="J31" s="42"/>
      <c r="K31" s="56"/>
    </row>
    <row r="32" spans="2:11" x14ac:dyDescent="0.3">
      <c r="B32" s="55"/>
      <c r="C32" s="42"/>
      <c r="D32" s="42"/>
      <c r="E32" s="42"/>
      <c r="F32" s="42"/>
      <c r="G32" s="42"/>
      <c r="H32" s="42"/>
      <c r="I32" s="42"/>
      <c r="J32" s="42"/>
      <c r="K32" s="56"/>
    </row>
    <row r="33" spans="2:11" x14ac:dyDescent="0.3">
      <c r="B33" s="55"/>
      <c r="C33" s="42"/>
      <c r="D33" s="42"/>
      <c r="E33" s="42"/>
      <c r="F33" s="42"/>
      <c r="G33" s="42"/>
      <c r="H33" s="42"/>
      <c r="I33" s="42"/>
      <c r="J33" s="42"/>
      <c r="K33" s="56"/>
    </row>
    <row r="34" spans="2:11" x14ac:dyDescent="0.3">
      <c r="B34" s="55"/>
      <c r="C34" s="42"/>
      <c r="D34" s="42"/>
      <c r="E34" s="42"/>
      <c r="F34" s="42"/>
      <c r="G34" s="42"/>
      <c r="H34" s="42"/>
      <c r="I34" s="42"/>
      <c r="J34" s="42"/>
      <c r="K34" s="56"/>
    </row>
    <row r="35" spans="2:11" x14ac:dyDescent="0.3">
      <c r="B35" s="55"/>
      <c r="C35" s="42"/>
      <c r="D35" s="42"/>
      <c r="E35" s="42"/>
      <c r="F35" s="42"/>
      <c r="G35" s="42"/>
      <c r="H35" s="42"/>
      <c r="I35" s="42"/>
      <c r="J35" s="42"/>
      <c r="K35" s="56"/>
    </row>
    <row r="36" spans="2:11" x14ac:dyDescent="0.3">
      <c r="B36" s="55"/>
      <c r="C36" s="42"/>
      <c r="D36" s="42"/>
      <c r="E36" s="42"/>
      <c r="F36" s="42"/>
      <c r="G36" s="42"/>
      <c r="H36" s="42"/>
      <c r="I36" s="42"/>
      <c r="J36" s="42"/>
      <c r="K36" s="56"/>
    </row>
    <row r="37" spans="2:11" x14ac:dyDescent="0.3">
      <c r="B37" s="55"/>
      <c r="C37" s="42"/>
      <c r="D37" s="42"/>
      <c r="E37" s="42"/>
      <c r="F37" s="42"/>
      <c r="G37" s="42"/>
      <c r="H37" s="42"/>
      <c r="I37" s="42"/>
      <c r="J37" s="42"/>
      <c r="K37" s="56"/>
    </row>
    <row r="38" spans="2:11" x14ac:dyDescent="0.3">
      <c r="B38" s="55"/>
      <c r="C38" s="42"/>
      <c r="D38" s="42"/>
      <c r="E38" s="42"/>
      <c r="F38" s="42"/>
      <c r="G38" s="42"/>
      <c r="H38" s="42"/>
      <c r="I38" s="42"/>
      <c r="J38" s="42"/>
      <c r="K38" s="56"/>
    </row>
    <row r="39" spans="2:11" x14ac:dyDescent="0.3">
      <c r="B39" s="55"/>
      <c r="C39" s="42"/>
      <c r="D39" s="42"/>
      <c r="E39" s="42"/>
      <c r="F39" s="42"/>
      <c r="G39" s="42"/>
      <c r="H39" s="42"/>
      <c r="I39" s="42"/>
      <c r="J39" s="42"/>
      <c r="K39" s="56"/>
    </row>
    <row r="40" spans="2:11" x14ac:dyDescent="0.3">
      <c r="B40" s="55"/>
      <c r="C40" s="42"/>
      <c r="D40" s="42"/>
      <c r="E40" s="42"/>
      <c r="F40" s="42"/>
      <c r="G40" s="42"/>
      <c r="H40" s="42"/>
      <c r="I40" s="42"/>
      <c r="J40" s="42"/>
      <c r="K40" s="56"/>
    </row>
    <row r="41" spans="2:11" x14ac:dyDescent="0.3">
      <c r="B41" s="55"/>
      <c r="C41" s="42"/>
      <c r="D41" s="42"/>
      <c r="E41" s="42"/>
      <c r="F41" s="42"/>
      <c r="G41" s="42"/>
      <c r="H41" s="42"/>
      <c r="I41" s="42"/>
      <c r="J41" s="42"/>
      <c r="K41" s="56"/>
    </row>
    <row r="42" spans="2:11" x14ac:dyDescent="0.3">
      <c r="B42" s="55"/>
      <c r="C42" s="42"/>
      <c r="D42" s="42"/>
      <c r="E42" s="42"/>
      <c r="F42" s="42"/>
      <c r="G42" s="42"/>
      <c r="H42" s="42"/>
      <c r="I42" s="42"/>
      <c r="J42" s="42"/>
      <c r="K42" s="56"/>
    </row>
    <row r="43" spans="2:11" x14ac:dyDescent="0.3">
      <c r="B43" s="55"/>
      <c r="C43" s="42"/>
      <c r="D43" s="42"/>
      <c r="E43" s="42"/>
      <c r="F43" s="42"/>
      <c r="G43" s="42"/>
      <c r="H43" s="42"/>
      <c r="I43" s="42"/>
      <c r="J43" s="42"/>
      <c r="K43" s="56"/>
    </row>
    <row r="44" spans="2:11" x14ac:dyDescent="0.3">
      <c r="B44" s="55"/>
      <c r="C44" s="42"/>
      <c r="D44" s="42"/>
      <c r="E44" s="42"/>
      <c r="F44" s="42"/>
      <c r="G44" s="42"/>
      <c r="H44" s="42"/>
      <c r="I44" s="42"/>
      <c r="J44" s="42"/>
      <c r="K44" s="56"/>
    </row>
    <row r="45" spans="2:11" x14ac:dyDescent="0.3">
      <c r="B45" s="55"/>
      <c r="C45" s="42"/>
      <c r="D45" s="42"/>
      <c r="E45" s="42"/>
      <c r="F45" s="42"/>
      <c r="G45" s="42"/>
      <c r="H45" s="42"/>
      <c r="I45" s="42"/>
      <c r="J45" s="42"/>
      <c r="K45" s="56"/>
    </row>
    <row r="46" spans="2:11" x14ac:dyDescent="0.3">
      <c r="B46" s="55"/>
      <c r="C46" s="42"/>
      <c r="D46" s="42"/>
      <c r="E46" s="42"/>
      <c r="F46" s="42"/>
      <c r="G46" s="42"/>
      <c r="H46" s="42"/>
      <c r="I46" s="42"/>
      <c r="J46" s="42"/>
      <c r="K46" s="56"/>
    </row>
    <row r="47" spans="2:11" x14ac:dyDescent="0.3">
      <c r="B47" s="55"/>
      <c r="C47" s="42"/>
      <c r="D47" s="42"/>
      <c r="E47" s="42"/>
      <c r="F47" s="42"/>
      <c r="G47" s="42"/>
      <c r="H47" s="42"/>
      <c r="I47" s="42"/>
      <c r="J47" s="42"/>
      <c r="K47" s="56"/>
    </row>
    <row r="48" spans="2:11" x14ac:dyDescent="0.3">
      <c r="B48" s="55"/>
      <c r="C48" s="42"/>
      <c r="D48" s="42"/>
      <c r="E48" s="42"/>
      <c r="F48" s="42"/>
      <c r="G48" s="42"/>
      <c r="H48" s="42"/>
      <c r="I48" s="42"/>
      <c r="J48" s="42"/>
      <c r="K48" s="56"/>
    </row>
    <row r="49" spans="2:11" x14ac:dyDescent="0.3">
      <c r="B49" s="55"/>
      <c r="C49" s="42"/>
      <c r="D49" s="42"/>
      <c r="E49" s="42"/>
      <c r="F49" s="42"/>
      <c r="G49" s="42"/>
      <c r="H49" s="42"/>
      <c r="I49" s="42"/>
      <c r="J49" s="42"/>
      <c r="K49" s="56"/>
    </row>
    <row r="50" spans="2:11" x14ac:dyDescent="0.3">
      <c r="B50" s="55"/>
      <c r="C50" s="42"/>
      <c r="D50" s="42"/>
      <c r="E50" s="42"/>
      <c r="F50" s="42"/>
      <c r="G50" s="42"/>
      <c r="H50" s="42"/>
      <c r="I50" s="42"/>
      <c r="J50" s="42"/>
      <c r="K50" s="56"/>
    </row>
    <row r="51" spans="2:11" x14ac:dyDescent="0.3">
      <c r="B51" s="55"/>
      <c r="C51" s="42"/>
      <c r="D51" s="42"/>
      <c r="E51" s="42"/>
      <c r="F51" s="42"/>
      <c r="G51" s="42"/>
      <c r="H51" s="42"/>
      <c r="I51" s="42"/>
      <c r="J51" s="42"/>
      <c r="K51" s="56"/>
    </row>
    <row r="52" spans="2:11" x14ac:dyDescent="0.3">
      <c r="B52" s="55"/>
      <c r="C52" s="42"/>
      <c r="D52" s="42"/>
      <c r="E52" s="42"/>
      <c r="F52" s="42"/>
      <c r="G52" s="42"/>
      <c r="H52" s="42"/>
      <c r="I52" s="42"/>
      <c r="J52" s="42"/>
      <c r="K52" s="56"/>
    </row>
    <row r="53" spans="2:11" x14ac:dyDescent="0.3">
      <c r="B53" s="55"/>
      <c r="C53" s="42"/>
      <c r="D53" s="42"/>
      <c r="E53" s="42"/>
      <c r="F53" s="42"/>
      <c r="G53" s="42"/>
      <c r="H53" s="42"/>
      <c r="I53" s="42"/>
      <c r="J53" s="42"/>
      <c r="K53" s="56"/>
    </row>
    <row r="54" spans="2:11" x14ac:dyDescent="0.3">
      <c r="B54" s="55"/>
      <c r="C54" s="42"/>
      <c r="D54" s="42"/>
      <c r="E54" s="42"/>
      <c r="F54" s="42"/>
      <c r="G54" s="42"/>
      <c r="H54" s="42"/>
      <c r="I54" s="42"/>
      <c r="J54" s="42"/>
      <c r="K54" s="56"/>
    </row>
    <row r="55" spans="2:11" x14ac:dyDescent="0.3">
      <c r="B55" s="55"/>
      <c r="C55" s="42"/>
      <c r="D55" s="42"/>
      <c r="E55" s="42"/>
      <c r="F55" s="42"/>
      <c r="G55" s="42"/>
      <c r="H55" s="42"/>
      <c r="I55" s="42"/>
      <c r="J55" s="42"/>
      <c r="K55" s="56"/>
    </row>
    <row r="56" spans="2:11" x14ac:dyDescent="0.3">
      <c r="B56" s="55"/>
      <c r="C56" s="42"/>
      <c r="D56" s="42"/>
      <c r="E56" s="42"/>
      <c r="F56" s="42"/>
      <c r="G56" s="42"/>
      <c r="H56" s="42"/>
      <c r="I56" s="42"/>
      <c r="J56" s="42"/>
      <c r="K56" s="56"/>
    </row>
    <row r="57" spans="2:11" x14ac:dyDescent="0.3">
      <c r="B57" s="55"/>
      <c r="C57" s="42"/>
      <c r="D57" s="42"/>
      <c r="E57" s="42"/>
      <c r="F57" s="42"/>
      <c r="G57" s="42"/>
      <c r="H57" s="42"/>
      <c r="I57" s="42"/>
      <c r="J57" s="42"/>
      <c r="K57" s="56"/>
    </row>
    <row r="58" spans="2:11" x14ac:dyDescent="0.3">
      <c r="B58" s="55"/>
      <c r="C58" s="42"/>
      <c r="D58" s="42"/>
      <c r="E58" s="42"/>
      <c r="F58" s="42"/>
      <c r="G58" s="42"/>
      <c r="H58" s="42"/>
      <c r="I58" s="42"/>
      <c r="J58" s="42"/>
      <c r="K58" s="56"/>
    </row>
    <row r="59" spans="2:11" x14ac:dyDescent="0.3">
      <c r="B59" s="55"/>
      <c r="C59" s="42"/>
      <c r="D59" s="42"/>
      <c r="E59" s="42"/>
      <c r="F59" s="42"/>
      <c r="G59" s="42"/>
      <c r="H59" s="42"/>
      <c r="I59" s="42"/>
      <c r="J59" s="42"/>
      <c r="K59" s="56"/>
    </row>
    <row r="60" spans="2:11" x14ac:dyDescent="0.3">
      <c r="B60" s="55"/>
      <c r="C60" s="42"/>
      <c r="D60" s="42"/>
      <c r="E60" s="42"/>
      <c r="F60" s="42"/>
      <c r="G60" s="42"/>
      <c r="H60" s="42"/>
      <c r="I60" s="42"/>
      <c r="J60" s="42"/>
      <c r="K60" s="56"/>
    </row>
    <row r="61" spans="2:11" x14ac:dyDescent="0.3">
      <c r="B61" s="55"/>
      <c r="C61" s="42"/>
      <c r="D61" s="42"/>
      <c r="E61" s="42"/>
      <c r="F61" s="42"/>
      <c r="G61" s="42"/>
      <c r="H61" s="42"/>
      <c r="I61" s="42"/>
      <c r="J61" s="42"/>
      <c r="K61" s="56"/>
    </row>
    <row r="62" spans="2:11" x14ac:dyDescent="0.3">
      <c r="B62" s="55"/>
      <c r="C62" s="42"/>
      <c r="D62" s="42"/>
      <c r="E62" s="42"/>
      <c r="F62" s="42"/>
      <c r="G62" s="42"/>
      <c r="H62" s="42"/>
      <c r="I62" s="42"/>
      <c r="J62" s="42"/>
      <c r="K62" s="56"/>
    </row>
    <row r="63" spans="2:11" ht="14.5" thickBot="1" x14ac:dyDescent="0.35">
      <c r="B63" s="61"/>
      <c r="C63" s="62"/>
      <c r="D63" s="62"/>
      <c r="E63" s="62"/>
      <c r="F63" s="62"/>
      <c r="G63" s="62"/>
      <c r="H63" s="62"/>
      <c r="I63" s="62"/>
      <c r="J63" s="62"/>
      <c r="K63" s="63"/>
    </row>
  </sheetData>
  <mergeCells count="1">
    <mergeCell ref="C3:J3"/>
  </mergeCells>
  <pageMargins left="0.7" right="0.7" top="0.75" bottom="0.75" header="0.3" footer="0.3"/>
  <pageSetup scale="6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E3AE-5966-4485-A207-63E42A1F03F7}">
  <sheetPr>
    <tabColor theme="3" tint="0.249977111117893"/>
  </sheetPr>
  <dimension ref="B1:L63"/>
  <sheetViews>
    <sheetView showGridLines="0" view="pageBreakPreview" zoomScale="60" zoomScaleNormal="90" workbookViewId="0">
      <selection activeCell="G26" sqref="G26"/>
    </sheetView>
  </sheetViews>
  <sheetFormatPr defaultRowHeight="14" x14ac:dyDescent="0.3"/>
  <cols>
    <col min="1" max="1" width="1.81640625" style="16" customWidth="1"/>
    <col min="2" max="3" width="2.6328125" style="16" customWidth="1"/>
    <col min="4" max="4" width="1.54296875" style="16" customWidth="1"/>
    <col min="5" max="5" width="16.453125" style="16" customWidth="1"/>
    <col min="6" max="6" width="18.7265625" style="16" customWidth="1"/>
    <col min="7" max="7" width="19.81640625" style="16" customWidth="1"/>
    <col min="8" max="9" width="18.90625" style="16" customWidth="1"/>
    <col min="10" max="10" width="16.1796875" style="16" customWidth="1"/>
    <col min="11" max="11" width="6.6328125" style="16" customWidth="1"/>
    <col min="12" max="12" width="2.54296875" style="16" customWidth="1"/>
    <col min="13" max="13" width="3.26953125" style="16" customWidth="1"/>
    <col min="14" max="16384" width="8.7265625" style="16"/>
  </cols>
  <sheetData>
    <row r="1" spans="2:12" ht="7.5" customHeight="1" thickBot="1" x14ac:dyDescent="0.35"/>
    <row r="2" spans="2:12" ht="9" customHeight="1" x14ac:dyDescent="0.3">
      <c r="B2" s="49"/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2:12" s="17" customFormat="1" ht="25.5" customHeight="1" x14ac:dyDescent="0.35">
      <c r="B3" s="52"/>
      <c r="C3" s="53" t="s">
        <v>210</v>
      </c>
      <c r="D3" s="53"/>
      <c r="E3" s="53"/>
      <c r="F3" s="53"/>
      <c r="G3" s="53"/>
      <c r="H3" s="53"/>
      <c r="I3" s="53"/>
      <c r="J3" s="53"/>
      <c r="K3" s="53"/>
      <c r="L3" s="54"/>
    </row>
    <row r="4" spans="2:12" ht="7" customHeight="1" x14ac:dyDescent="0.3">
      <c r="B4" s="55"/>
      <c r="C4" s="42"/>
      <c r="D4" s="42"/>
      <c r="E4" s="42"/>
      <c r="F4" s="42"/>
      <c r="G4" s="42"/>
      <c r="H4" s="42"/>
      <c r="I4" s="42"/>
      <c r="J4" s="42"/>
      <c r="K4" s="42"/>
      <c r="L4" s="56"/>
    </row>
    <row r="5" spans="2:12" ht="17.5" x14ac:dyDescent="0.35">
      <c r="B5" s="55"/>
      <c r="C5" s="57"/>
      <c r="D5" s="57"/>
      <c r="E5" s="42"/>
      <c r="F5" s="42"/>
      <c r="G5" s="42"/>
      <c r="H5" s="42"/>
      <c r="I5" s="42"/>
      <c r="J5" s="42"/>
      <c r="K5" s="42"/>
      <c r="L5" s="56"/>
    </row>
    <row r="6" spans="2:12" ht="6.5" customHeight="1" x14ac:dyDescent="0.3">
      <c r="B6" s="55"/>
      <c r="C6" s="42"/>
      <c r="D6" s="42"/>
      <c r="E6" s="42"/>
      <c r="F6" s="42"/>
      <c r="G6" s="42"/>
      <c r="H6" s="42"/>
      <c r="I6" s="42"/>
      <c r="J6" s="42"/>
      <c r="K6" s="42"/>
      <c r="L6" s="56"/>
    </row>
    <row r="7" spans="2:12" ht="18" x14ac:dyDescent="0.4">
      <c r="B7" s="55"/>
      <c r="C7" s="64" t="s">
        <v>211</v>
      </c>
      <c r="D7" s="64"/>
      <c r="E7" s="65" t="s">
        <v>212</v>
      </c>
      <c r="F7" s="42"/>
      <c r="G7" s="42"/>
      <c r="H7" s="42"/>
      <c r="I7" s="42"/>
      <c r="J7" s="42"/>
      <c r="K7" s="42"/>
      <c r="L7" s="56"/>
    </row>
    <row r="8" spans="2:12" ht="6.5" customHeight="1" x14ac:dyDescent="0.3">
      <c r="B8" s="55"/>
      <c r="C8" s="42"/>
      <c r="D8" s="42"/>
      <c r="E8" s="42"/>
      <c r="F8" s="42"/>
      <c r="G8" s="42"/>
      <c r="H8" s="42"/>
      <c r="I8" s="42"/>
      <c r="J8" s="42"/>
      <c r="K8" s="42"/>
      <c r="L8" s="56"/>
    </row>
    <row r="9" spans="2:12" ht="18" x14ac:dyDescent="0.4">
      <c r="B9" s="55"/>
      <c r="C9" s="64" t="s">
        <v>211</v>
      </c>
      <c r="D9" s="42"/>
      <c r="E9" s="65" t="s">
        <v>221</v>
      </c>
      <c r="F9" s="42"/>
      <c r="G9" s="42"/>
      <c r="H9" s="42"/>
      <c r="I9" s="42"/>
      <c r="J9" s="42"/>
      <c r="K9" s="42"/>
      <c r="L9" s="56"/>
    </row>
    <row r="10" spans="2:12" ht="18" x14ac:dyDescent="0.4">
      <c r="B10" s="55"/>
      <c r="C10" s="42"/>
      <c r="D10" s="42"/>
      <c r="E10" s="65" t="s">
        <v>213</v>
      </c>
      <c r="F10" s="42"/>
      <c r="G10" s="42"/>
      <c r="H10" s="42"/>
      <c r="I10" s="42"/>
      <c r="J10" s="42"/>
      <c r="K10" s="42"/>
      <c r="L10" s="56"/>
    </row>
    <row r="11" spans="2:12" ht="6.5" customHeight="1" x14ac:dyDescent="0.35">
      <c r="B11" s="55"/>
      <c r="C11" s="57"/>
      <c r="D11" s="57"/>
      <c r="E11" s="42"/>
      <c r="F11" s="42"/>
      <c r="G11" s="42"/>
      <c r="H11" s="42"/>
      <c r="I11" s="42"/>
      <c r="J11" s="42"/>
      <c r="K11" s="42"/>
      <c r="L11" s="56"/>
    </row>
    <row r="12" spans="2:12" ht="18" x14ac:dyDescent="0.4">
      <c r="B12" s="55"/>
      <c r="C12" s="64" t="s">
        <v>211</v>
      </c>
      <c r="D12" s="42"/>
      <c r="E12" s="65" t="s">
        <v>214</v>
      </c>
      <c r="F12" s="42"/>
      <c r="G12" s="42"/>
      <c r="H12" s="42"/>
      <c r="I12" s="42"/>
      <c r="J12" s="42"/>
      <c r="K12" s="42"/>
      <c r="L12" s="56"/>
    </row>
    <row r="13" spans="2:12" ht="18" x14ac:dyDescent="0.4">
      <c r="B13" s="55"/>
      <c r="C13" s="42"/>
      <c r="D13" s="42"/>
      <c r="E13" s="65" t="s">
        <v>215</v>
      </c>
      <c r="F13" s="42"/>
      <c r="G13" s="42"/>
      <c r="H13" s="42"/>
      <c r="I13" s="42"/>
      <c r="J13" s="42"/>
      <c r="K13" s="42"/>
      <c r="L13" s="56"/>
    </row>
    <row r="14" spans="2:12" ht="7.5" customHeight="1" x14ac:dyDescent="0.3">
      <c r="B14" s="55"/>
      <c r="C14" s="42"/>
      <c r="D14" s="42"/>
      <c r="E14" s="42"/>
      <c r="F14" s="42"/>
      <c r="G14" s="42"/>
      <c r="H14" s="42"/>
      <c r="I14" s="42"/>
      <c r="J14" s="42"/>
      <c r="K14" s="42"/>
      <c r="L14" s="56"/>
    </row>
    <row r="15" spans="2:12" ht="18" x14ac:dyDescent="0.4">
      <c r="B15" s="55"/>
      <c r="C15" s="64" t="s">
        <v>211</v>
      </c>
      <c r="D15" s="42"/>
      <c r="E15" s="65" t="s">
        <v>216</v>
      </c>
      <c r="F15" s="42"/>
      <c r="G15" s="42"/>
      <c r="H15" s="42"/>
      <c r="I15" s="42"/>
      <c r="J15" s="42"/>
      <c r="K15" s="42"/>
      <c r="L15" s="56"/>
    </row>
    <row r="16" spans="2:12" ht="18" x14ac:dyDescent="0.4">
      <c r="B16" s="55"/>
      <c r="C16" s="42"/>
      <c r="D16" s="42"/>
      <c r="E16" s="65" t="s">
        <v>217</v>
      </c>
      <c r="F16" s="42"/>
      <c r="G16" s="42"/>
      <c r="H16" s="42"/>
      <c r="I16" s="42"/>
      <c r="J16" s="42"/>
      <c r="K16" s="42"/>
      <c r="L16" s="56"/>
    </row>
    <row r="17" spans="2:12" ht="7.5" customHeight="1" x14ac:dyDescent="0.3">
      <c r="B17" s="55"/>
      <c r="C17" s="42"/>
      <c r="D17" s="42"/>
      <c r="E17" s="42"/>
      <c r="F17" s="42"/>
      <c r="G17" s="42"/>
      <c r="H17" s="42"/>
      <c r="I17" s="42"/>
      <c r="J17" s="42"/>
      <c r="K17" s="42"/>
      <c r="L17" s="56"/>
    </row>
    <row r="18" spans="2:12" ht="18" x14ac:dyDescent="0.4">
      <c r="B18" s="55"/>
      <c r="C18" s="64" t="s">
        <v>211</v>
      </c>
      <c r="D18" s="42"/>
      <c r="E18" s="65" t="s">
        <v>219</v>
      </c>
      <c r="F18" s="42"/>
      <c r="G18" s="42"/>
      <c r="H18" s="42"/>
      <c r="I18" s="42"/>
      <c r="J18" s="42"/>
      <c r="K18" s="42"/>
      <c r="L18" s="56"/>
    </row>
    <row r="19" spans="2:12" ht="18" x14ac:dyDescent="0.4">
      <c r="B19" s="55"/>
      <c r="C19" s="42"/>
      <c r="D19" s="42"/>
      <c r="E19" s="65" t="s">
        <v>218</v>
      </c>
      <c r="F19" s="42"/>
      <c r="G19" s="42"/>
      <c r="H19" s="42"/>
      <c r="I19" s="42"/>
      <c r="J19" s="42"/>
      <c r="K19" s="42"/>
      <c r="L19" s="56"/>
    </row>
    <row r="20" spans="2:12" x14ac:dyDescent="0.3">
      <c r="B20" s="55"/>
      <c r="C20" s="42"/>
      <c r="D20" s="42"/>
      <c r="E20" s="42"/>
      <c r="F20" s="42"/>
      <c r="G20" s="42"/>
      <c r="H20" s="42"/>
      <c r="I20" s="42"/>
      <c r="J20" s="42"/>
      <c r="K20" s="42"/>
      <c r="L20" s="56"/>
    </row>
    <row r="21" spans="2:12" x14ac:dyDescent="0.3">
      <c r="B21" s="55"/>
      <c r="C21" s="42"/>
      <c r="D21" s="42"/>
      <c r="E21" s="42"/>
      <c r="F21" s="42"/>
      <c r="G21" s="42"/>
      <c r="H21" s="42"/>
      <c r="I21" s="42"/>
      <c r="J21" s="42"/>
      <c r="K21" s="42"/>
      <c r="L21" s="56"/>
    </row>
    <row r="22" spans="2:12" x14ac:dyDescent="0.3">
      <c r="B22" s="55"/>
      <c r="C22" s="42"/>
      <c r="D22" s="42"/>
      <c r="E22" s="42"/>
      <c r="F22" s="42"/>
      <c r="G22" s="42"/>
      <c r="H22" s="42"/>
      <c r="I22" s="42"/>
      <c r="J22" s="42"/>
      <c r="K22" s="42"/>
      <c r="L22" s="56"/>
    </row>
    <row r="23" spans="2:12" x14ac:dyDescent="0.3">
      <c r="B23" s="55"/>
      <c r="C23" s="42"/>
      <c r="D23" s="42"/>
      <c r="E23" s="42"/>
      <c r="F23" s="42"/>
      <c r="G23" s="42"/>
      <c r="H23" s="42"/>
      <c r="I23" s="42"/>
      <c r="J23" s="42"/>
      <c r="K23" s="42"/>
      <c r="L23" s="56"/>
    </row>
    <row r="24" spans="2:12" x14ac:dyDescent="0.3">
      <c r="B24" s="55"/>
      <c r="C24" s="42"/>
      <c r="D24" s="42"/>
      <c r="E24" s="42"/>
      <c r="F24" s="42"/>
      <c r="G24" s="42"/>
      <c r="H24" s="42"/>
      <c r="I24" s="42"/>
      <c r="J24" s="42"/>
      <c r="K24" s="42"/>
      <c r="L24" s="56"/>
    </row>
    <row r="25" spans="2:12" x14ac:dyDescent="0.3">
      <c r="B25" s="55"/>
      <c r="C25" s="42"/>
      <c r="D25" s="42"/>
      <c r="E25" s="42"/>
      <c r="F25" s="42"/>
      <c r="G25" s="42"/>
      <c r="H25" s="42"/>
      <c r="I25" s="42"/>
      <c r="J25" s="42"/>
      <c r="K25" s="42"/>
      <c r="L25" s="56"/>
    </row>
    <row r="26" spans="2:12" x14ac:dyDescent="0.3">
      <c r="B26" s="55"/>
      <c r="C26" s="42"/>
      <c r="D26" s="42"/>
      <c r="E26" s="42"/>
      <c r="F26" s="42"/>
      <c r="G26" s="42"/>
      <c r="H26" s="42"/>
      <c r="I26" s="42"/>
      <c r="J26" s="42"/>
      <c r="K26" s="42"/>
      <c r="L26" s="56"/>
    </row>
    <row r="27" spans="2:12" x14ac:dyDescent="0.3">
      <c r="B27" s="55"/>
      <c r="C27" s="42"/>
      <c r="D27" s="42"/>
      <c r="E27" s="42"/>
      <c r="F27" s="42"/>
      <c r="G27" s="42"/>
      <c r="H27" s="42"/>
      <c r="I27" s="42"/>
      <c r="J27" s="42"/>
      <c r="K27" s="42"/>
      <c r="L27" s="56"/>
    </row>
    <row r="28" spans="2:12" x14ac:dyDescent="0.3">
      <c r="B28" s="55"/>
      <c r="C28" s="42"/>
      <c r="D28" s="42"/>
      <c r="E28" s="42"/>
      <c r="F28" s="42"/>
      <c r="G28" s="42"/>
      <c r="H28" s="42"/>
      <c r="I28" s="42"/>
      <c r="J28" s="42"/>
      <c r="K28" s="42"/>
      <c r="L28" s="56"/>
    </row>
    <row r="29" spans="2:12" x14ac:dyDescent="0.3">
      <c r="B29" s="55"/>
      <c r="C29" s="42"/>
      <c r="D29" s="42"/>
      <c r="E29" s="42"/>
      <c r="F29" s="42"/>
      <c r="G29" s="42"/>
      <c r="H29" s="42"/>
      <c r="I29" s="42"/>
      <c r="J29" s="42"/>
      <c r="K29" s="42"/>
      <c r="L29" s="56"/>
    </row>
    <row r="30" spans="2:12" x14ac:dyDescent="0.3">
      <c r="B30" s="55"/>
      <c r="C30" s="42"/>
      <c r="D30" s="42"/>
      <c r="E30" s="42"/>
      <c r="F30" s="42"/>
      <c r="G30" s="42"/>
      <c r="H30" s="42"/>
      <c r="I30" s="42"/>
      <c r="J30" s="42"/>
      <c r="K30" s="42"/>
      <c r="L30" s="56"/>
    </row>
    <row r="31" spans="2:12" x14ac:dyDescent="0.3">
      <c r="B31" s="55"/>
      <c r="C31" s="42"/>
      <c r="D31" s="42"/>
      <c r="E31" s="42"/>
      <c r="F31" s="42"/>
      <c r="G31" s="42"/>
      <c r="H31" s="42"/>
      <c r="I31" s="42"/>
      <c r="J31" s="42"/>
      <c r="K31" s="42"/>
      <c r="L31" s="56"/>
    </row>
    <row r="32" spans="2:12" x14ac:dyDescent="0.3">
      <c r="B32" s="55"/>
      <c r="C32" s="42"/>
      <c r="D32" s="42"/>
      <c r="E32" s="42"/>
      <c r="F32" s="42"/>
      <c r="G32" s="42"/>
      <c r="H32" s="42"/>
      <c r="I32" s="42"/>
      <c r="J32" s="42"/>
      <c r="K32" s="42"/>
      <c r="L32" s="56"/>
    </row>
    <row r="33" spans="2:12" x14ac:dyDescent="0.3">
      <c r="B33" s="55"/>
      <c r="C33" s="42"/>
      <c r="D33" s="42"/>
      <c r="E33" s="42"/>
      <c r="F33" s="42"/>
      <c r="G33" s="42"/>
      <c r="H33" s="42"/>
      <c r="I33" s="42"/>
      <c r="J33" s="42"/>
      <c r="K33" s="42"/>
      <c r="L33" s="56"/>
    </row>
    <row r="34" spans="2:12" x14ac:dyDescent="0.3">
      <c r="B34" s="55"/>
      <c r="C34" s="42"/>
      <c r="D34" s="42"/>
      <c r="E34" s="42"/>
      <c r="F34" s="42"/>
      <c r="G34" s="42"/>
      <c r="H34" s="42"/>
      <c r="I34" s="42"/>
      <c r="J34" s="42"/>
      <c r="K34" s="42"/>
      <c r="L34" s="56"/>
    </row>
    <row r="35" spans="2:12" x14ac:dyDescent="0.3">
      <c r="B35" s="55"/>
      <c r="C35" s="42"/>
      <c r="D35" s="42"/>
      <c r="E35" s="42"/>
      <c r="F35" s="42"/>
      <c r="G35" s="42"/>
      <c r="H35" s="42"/>
      <c r="I35" s="42"/>
      <c r="J35" s="42"/>
      <c r="K35" s="42"/>
      <c r="L35" s="56"/>
    </row>
    <row r="36" spans="2:12" x14ac:dyDescent="0.3">
      <c r="B36" s="55"/>
      <c r="C36" s="42"/>
      <c r="D36" s="42"/>
      <c r="E36" s="42"/>
      <c r="F36" s="42"/>
      <c r="G36" s="42"/>
      <c r="H36" s="42"/>
      <c r="I36" s="42"/>
      <c r="J36" s="42"/>
      <c r="K36" s="42"/>
      <c r="L36" s="56"/>
    </row>
    <row r="37" spans="2:12" x14ac:dyDescent="0.3">
      <c r="B37" s="55"/>
      <c r="C37" s="42"/>
      <c r="D37" s="42"/>
      <c r="E37" s="42"/>
      <c r="F37" s="42"/>
      <c r="G37" s="42"/>
      <c r="H37" s="42"/>
      <c r="I37" s="42"/>
      <c r="J37" s="42"/>
      <c r="K37" s="42"/>
      <c r="L37" s="56"/>
    </row>
    <row r="38" spans="2:12" x14ac:dyDescent="0.3">
      <c r="B38" s="55"/>
      <c r="C38" s="42"/>
      <c r="D38" s="42"/>
      <c r="E38" s="42"/>
      <c r="F38" s="42"/>
      <c r="G38" s="42"/>
      <c r="H38" s="42"/>
      <c r="I38" s="42"/>
      <c r="J38" s="42"/>
      <c r="K38" s="42"/>
      <c r="L38" s="56"/>
    </row>
    <row r="39" spans="2:12" x14ac:dyDescent="0.3">
      <c r="B39" s="55"/>
      <c r="C39" s="42"/>
      <c r="D39" s="42"/>
      <c r="E39" s="42"/>
      <c r="F39" s="42"/>
      <c r="G39" s="42"/>
      <c r="H39" s="42"/>
      <c r="I39" s="42"/>
      <c r="J39" s="42"/>
      <c r="K39" s="42"/>
      <c r="L39" s="56"/>
    </row>
    <row r="40" spans="2:12" x14ac:dyDescent="0.3">
      <c r="B40" s="55"/>
      <c r="C40" s="42"/>
      <c r="D40" s="42"/>
      <c r="E40" s="42"/>
      <c r="F40" s="42"/>
      <c r="G40" s="42"/>
      <c r="H40" s="42"/>
      <c r="I40" s="42"/>
      <c r="J40" s="42"/>
      <c r="K40" s="42"/>
      <c r="L40" s="56"/>
    </row>
    <row r="41" spans="2:12" x14ac:dyDescent="0.3">
      <c r="B41" s="55"/>
      <c r="C41" s="42"/>
      <c r="D41" s="42"/>
      <c r="E41" s="42"/>
      <c r="F41" s="42"/>
      <c r="G41" s="42"/>
      <c r="H41" s="42"/>
      <c r="I41" s="42"/>
      <c r="J41" s="42"/>
      <c r="K41" s="42"/>
      <c r="L41" s="56"/>
    </row>
    <row r="42" spans="2:12" x14ac:dyDescent="0.3">
      <c r="B42" s="55"/>
      <c r="C42" s="42"/>
      <c r="D42" s="42"/>
      <c r="E42" s="42"/>
      <c r="F42" s="42"/>
      <c r="G42" s="42"/>
      <c r="H42" s="42"/>
      <c r="I42" s="42"/>
      <c r="J42" s="42"/>
      <c r="K42" s="42"/>
      <c r="L42" s="56"/>
    </row>
    <row r="43" spans="2:12" x14ac:dyDescent="0.3">
      <c r="B43" s="55"/>
      <c r="C43" s="42"/>
      <c r="D43" s="42"/>
      <c r="E43" s="42"/>
      <c r="F43" s="42"/>
      <c r="G43" s="42"/>
      <c r="H43" s="42"/>
      <c r="I43" s="42"/>
      <c r="J43" s="42"/>
      <c r="K43" s="42"/>
      <c r="L43" s="56"/>
    </row>
    <row r="44" spans="2:12" x14ac:dyDescent="0.3">
      <c r="B44" s="55"/>
      <c r="C44" s="42"/>
      <c r="D44" s="42"/>
      <c r="E44" s="42"/>
      <c r="F44" s="42"/>
      <c r="G44" s="42"/>
      <c r="H44" s="42"/>
      <c r="I44" s="42"/>
      <c r="J44" s="42"/>
      <c r="K44" s="42"/>
      <c r="L44" s="56"/>
    </row>
    <row r="45" spans="2:12" x14ac:dyDescent="0.3">
      <c r="B45" s="55"/>
      <c r="C45" s="42"/>
      <c r="D45" s="42"/>
      <c r="E45" s="42"/>
      <c r="F45" s="42"/>
      <c r="G45" s="42"/>
      <c r="H45" s="42"/>
      <c r="I45" s="42"/>
      <c r="J45" s="42"/>
      <c r="K45" s="42"/>
      <c r="L45" s="56"/>
    </row>
    <row r="46" spans="2:12" x14ac:dyDescent="0.3">
      <c r="B46" s="55"/>
      <c r="C46" s="42"/>
      <c r="D46" s="42"/>
      <c r="E46" s="42"/>
      <c r="F46" s="42"/>
      <c r="G46" s="42"/>
      <c r="H46" s="42"/>
      <c r="I46" s="42"/>
      <c r="J46" s="42"/>
      <c r="K46" s="42"/>
      <c r="L46" s="56"/>
    </row>
    <row r="47" spans="2:12" x14ac:dyDescent="0.3">
      <c r="B47" s="55"/>
      <c r="C47" s="42"/>
      <c r="D47" s="42"/>
      <c r="E47" s="42"/>
      <c r="F47" s="42"/>
      <c r="G47" s="42"/>
      <c r="H47" s="42"/>
      <c r="I47" s="42"/>
      <c r="J47" s="42"/>
      <c r="K47" s="42"/>
      <c r="L47" s="56"/>
    </row>
    <row r="48" spans="2:12" x14ac:dyDescent="0.3">
      <c r="B48" s="55"/>
      <c r="C48" s="42"/>
      <c r="D48" s="42"/>
      <c r="E48" s="42"/>
      <c r="F48" s="42"/>
      <c r="G48" s="42"/>
      <c r="H48" s="42"/>
      <c r="I48" s="42"/>
      <c r="J48" s="42"/>
      <c r="K48" s="42"/>
      <c r="L48" s="56"/>
    </row>
    <row r="49" spans="2:12" x14ac:dyDescent="0.3">
      <c r="B49" s="55"/>
      <c r="C49" s="42"/>
      <c r="D49" s="42"/>
      <c r="E49" s="42"/>
      <c r="F49" s="42"/>
      <c r="G49" s="42"/>
      <c r="H49" s="42"/>
      <c r="I49" s="42"/>
      <c r="J49" s="42"/>
      <c r="K49" s="42"/>
      <c r="L49" s="56"/>
    </row>
    <row r="50" spans="2:12" x14ac:dyDescent="0.3">
      <c r="B50" s="55"/>
      <c r="C50" s="42"/>
      <c r="D50" s="42"/>
      <c r="E50" s="42"/>
      <c r="F50" s="42"/>
      <c r="G50" s="42"/>
      <c r="H50" s="42"/>
      <c r="I50" s="42"/>
      <c r="J50" s="42"/>
      <c r="K50" s="42"/>
      <c r="L50" s="56"/>
    </row>
    <row r="51" spans="2:12" x14ac:dyDescent="0.3">
      <c r="B51" s="55"/>
      <c r="C51" s="42"/>
      <c r="D51" s="42"/>
      <c r="E51" s="42"/>
      <c r="F51" s="42"/>
      <c r="G51" s="42"/>
      <c r="H51" s="42"/>
      <c r="I51" s="42"/>
      <c r="J51" s="42"/>
      <c r="K51" s="42"/>
      <c r="L51" s="56"/>
    </row>
    <row r="52" spans="2:12" x14ac:dyDescent="0.3">
      <c r="B52" s="55"/>
      <c r="C52" s="42"/>
      <c r="D52" s="42"/>
      <c r="E52" s="42"/>
      <c r="F52" s="42"/>
      <c r="G52" s="42"/>
      <c r="H52" s="42"/>
      <c r="I52" s="42"/>
      <c r="J52" s="42"/>
      <c r="K52" s="42"/>
      <c r="L52" s="56"/>
    </row>
    <row r="53" spans="2:12" x14ac:dyDescent="0.3">
      <c r="B53" s="55"/>
      <c r="C53" s="42"/>
      <c r="D53" s="42"/>
      <c r="E53" s="42"/>
      <c r="F53" s="42"/>
      <c r="G53" s="42"/>
      <c r="H53" s="42"/>
      <c r="I53" s="42"/>
      <c r="J53" s="42"/>
      <c r="K53" s="42"/>
      <c r="L53" s="56"/>
    </row>
    <row r="54" spans="2:12" x14ac:dyDescent="0.3">
      <c r="B54" s="55"/>
      <c r="C54" s="42"/>
      <c r="D54" s="42"/>
      <c r="E54" s="42"/>
      <c r="F54" s="42"/>
      <c r="G54" s="42"/>
      <c r="H54" s="42"/>
      <c r="I54" s="42"/>
      <c r="J54" s="42"/>
      <c r="K54" s="42"/>
      <c r="L54" s="56"/>
    </row>
    <row r="55" spans="2:12" x14ac:dyDescent="0.3">
      <c r="B55" s="55"/>
      <c r="C55" s="42"/>
      <c r="D55" s="42"/>
      <c r="E55" s="42"/>
      <c r="F55" s="42"/>
      <c r="G55" s="42"/>
      <c r="H55" s="42"/>
      <c r="I55" s="42"/>
      <c r="J55" s="42"/>
      <c r="K55" s="42"/>
      <c r="L55" s="56"/>
    </row>
    <row r="56" spans="2:12" x14ac:dyDescent="0.3">
      <c r="B56" s="55"/>
      <c r="C56" s="42"/>
      <c r="D56" s="42"/>
      <c r="E56" s="42"/>
      <c r="F56" s="42"/>
      <c r="G56" s="42"/>
      <c r="H56" s="42"/>
      <c r="I56" s="42"/>
      <c r="J56" s="42"/>
      <c r="K56" s="42"/>
      <c r="L56" s="56"/>
    </row>
    <row r="57" spans="2:12" x14ac:dyDescent="0.3">
      <c r="B57" s="55"/>
      <c r="C57" s="42"/>
      <c r="D57" s="42"/>
      <c r="E57" s="42"/>
      <c r="F57" s="42"/>
      <c r="G57" s="42"/>
      <c r="H57" s="42"/>
      <c r="I57" s="42"/>
      <c r="J57" s="42"/>
      <c r="K57" s="42"/>
      <c r="L57" s="56"/>
    </row>
    <row r="58" spans="2:12" x14ac:dyDescent="0.3">
      <c r="B58" s="55"/>
      <c r="C58" s="42"/>
      <c r="D58" s="42"/>
      <c r="E58" s="42"/>
      <c r="F58" s="42"/>
      <c r="G58" s="42"/>
      <c r="H58" s="42"/>
      <c r="I58" s="42"/>
      <c r="J58" s="42"/>
      <c r="K58" s="42"/>
      <c r="L58" s="56"/>
    </row>
    <row r="59" spans="2:12" x14ac:dyDescent="0.3">
      <c r="B59" s="55"/>
      <c r="C59" s="42"/>
      <c r="D59" s="42"/>
      <c r="E59" s="42"/>
      <c r="F59" s="42"/>
      <c r="G59" s="42"/>
      <c r="H59" s="42"/>
      <c r="I59" s="42"/>
      <c r="J59" s="42"/>
      <c r="K59" s="42"/>
      <c r="L59" s="56"/>
    </row>
    <row r="60" spans="2:12" x14ac:dyDescent="0.3">
      <c r="B60" s="55"/>
      <c r="C60" s="42"/>
      <c r="D60" s="42"/>
      <c r="E60" s="42"/>
      <c r="F60" s="42"/>
      <c r="G60" s="42"/>
      <c r="H60" s="42"/>
      <c r="I60" s="42"/>
      <c r="J60" s="42"/>
      <c r="K60" s="42"/>
      <c r="L60" s="56"/>
    </row>
    <row r="61" spans="2:12" x14ac:dyDescent="0.3">
      <c r="B61" s="55"/>
      <c r="C61" s="42"/>
      <c r="D61" s="42"/>
      <c r="E61" s="42"/>
      <c r="F61" s="42"/>
      <c r="G61" s="42"/>
      <c r="H61" s="42"/>
      <c r="I61" s="42"/>
      <c r="J61" s="42"/>
      <c r="K61" s="42"/>
      <c r="L61" s="56"/>
    </row>
    <row r="62" spans="2:12" x14ac:dyDescent="0.3">
      <c r="B62" s="55"/>
      <c r="C62" s="42"/>
      <c r="D62" s="42"/>
      <c r="E62" s="42"/>
      <c r="F62" s="42"/>
      <c r="G62" s="42"/>
      <c r="H62" s="42"/>
      <c r="I62" s="42"/>
      <c r="J62" s="42"/>
      <c r="K62" s="42"/>
      <c r="L62" s="56"/>
    </row>
    <row r="63" spans="2:12" ht="14.5" thickBot="1" x14ac:dyDescent="0.35">
      <c r="B63" s="61"/>
      <c r="C63" s="62"/>
      <c r="D63" s="62"/>
      <c r="E63" s="62"/>
      <c r="F63" s="62"/>
      <c r="G63" s="62"/>
      <c r="H63" s="62"/>
      <c r="I63" s="62"/>
      <c r="J63" s="62"/>
      <c r="K63" s="62"/>
      <c r="L63" s="63"/>
    </row>
  </sheetData>
  <mergeCells count="1">
    <mergeCell ref="C3:K3"/>
  </mergeCells>
  <pageMargins left="0.7" right="0.7" top="0.75" bottom="0.75" header="0.3" footer="0.3"/>
  <pageSetup scale="6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Raw Dataset</vt:lpstr>
      <vt:lpstr>Data Processing</vt:lpstr>
      <vt:lpstr>Lookup</vt:lpstr>
      <vt:lpstr>Pivot Table</vt:lpstr>
      <vt:lpstr>Chart</vt:lpstr>
      <vt:lpstr>DASHBOARD</vt:lpstr>
      <vt:lpstr>KEY FINDINGS</vt:lpstr>
      <vt:lpstr>DASHBOARD!Print_Area</vt:lpstr>
      <vt:lpstr>'KEY FINDINGS'!Print_Area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Zahrulwafi</dc:creator>
  <cp:lastModifiedBy>RKIndo</cp:lastModifiedBy>
  <cp:lastPrinted>2026-08-08T01:54:33Z</cp:lastPrinted>
  <dcterms:created xsi:type="dcterms:W3CDTF">2026-05-29T06:42:27Z</dcterms:created>
  <dcterms:modified xsi:type="dcterms:W3CDTF">2026-08-08T01:55:51Z</dcterms:modified>
</cp:coreProperties>
</file>